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a-prodjowijono/WWIMS/Docs/"/>
    </mc:Choice>
  </mc:AlternateContent>
  <xr:revisionPtr revIDLastSave="0" documentId="13_ncr:1_{64491D7D-0001-244D-AC80-45B769D191E3}" xr6:coauthVersionLast="47" xr6:coauthVersionMax="47" xr10:uidLastSave="{00000000-0000-0000-0000-000000000000}"/>
  <workbookProtection workbookAlgorithmName="SHA-512" workbookHashValue="EC5wmOQUEfhrQb8D2DaxC9a7tS2/Be1fuqhuN0DZg/e7UXgcRZte7Ia4JbgSz2J/+RQhtQNSVK6/2ANR3sV9lQ==" workbookSaltValue="vtJw/CADcFnrwOKRfJBg6A==" workbookSpinCount="100000" lockStructure="1"/>
  <bookViews>
    <workbookView xWindow="0" yWindow="660" windowWidth="30240" windowHeight="18980" xr2:uid="{DCA13E67-0366-43B1-A55F-B75CC8F93715}"/>
  </bookViews>
  <sheets>
    <sheet name="Data " sheetId="1" r:id="rId1"/>
    <sheet name="Setoran 1" sheetId="9" r:id="rId2"/>
    <sheet name="Setoran 2" sheetId="6" r:id="rId3"/>
    <sheet name="Setoran 3" sheetId="5" r:id="rId4"/>
    <sheet name="Rekap 1" sheetId="2" r:id="rId5"/>
    <sheet name="Rekap 2" sheetId="8" r:id="rId6"/>
    <sheet name="Rekap 3" sheetId="7" r:id="rId7"/>
    <sheet name="Jual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9" l="1"/>
  <c r="K51" i="9"/>
  <c r="K62" i="9"/>
  <c r="K48" i="9"/>
  <c r="K47" i="9"/>
  <c r="K39" i="9"/>
  <c r="K34" i="9"/>
  <c r="K20" i="9"/>
  <c r="K16" i="9"/>
  <c r="K14" i="9"/>
  <c r="K12" i="9"/>
  <c r="I48" i="9"/>
  <c r="I47" i="9"/>
  <c r="I42" i="9"/>
  <c r="I34" i="9"/>
  <c r="I16" i="9"/>
  <c r="H39" i="9"/>
  <c r="H32" i="9"/>
  <c r="H22" i="9"/>
  <c r="G39" i="9"/>
  <c r="F16" i="9"/>
  <c r="E42" i="9"/>
  <c r="D51" i="9"/>
  <c r="D48" i="9"/>
  <c r="D47" i="9"/>
  <c r="D33" i="9"/>
  <c r="D8" i="9"/>
  <c r="C48" i="9"/>
  <c r="R39" i="9"/>
  <c r="H5" i="2"/>
  <c r="K5" i="2"/>
  <c r="C37" i="4"/>
  <c r="H8" i="2"/>
  <c r="AI37" i="2"/>
  <c r="AF37" i="2"/>
  <c r="AL34" i="2"/>
  <c r="C67" i="4"/>
  <c r="C68" i="4"/>
  <c r="C69" i="4"/>
  <c r="C70" i="4"/>
  <c r="C71" i="4"/>
  <c r="C72" i="4"/>
  <c r="C73" i="4"/>
  <c r="C74" i="4"/>
  <c r="C75" i="4"/>
  <c r="C66" i="4"/>
  <c r="C65" i="4"/>
  <c r="C64" i="4"/>
  <c r="C61" i="4"/>
  <c r="C62" i="4"/>
  <c r="C60" i="4"/>
  <c r="C52" i="4"/>
  <c r="C53" i="4"/>
  <c r="C54" i="4"/>
  <c r="C55" i="4"/>
  <c r="C56" i="4"/>
  <c r="C57" i="4"/>
  <c r="C58" i="4"/>
  <c r="C51" i="4"/>
  <c r="C44" i="4"/>
  <c r="C45" i="4"/>
  <c r="C46" i="4"/>
  <c r="C47" i="4"/>
  <c r="C48" i="4"/>
  <c r="C49" i="4"/>
  <c r="C43" i="4"/>
  <c r="C42" i="4"/>
  <c r="C40" i="4"/>
  <c r="C39" i="4"/>
  <c r="C35" i="4"/>
  <c r="C36" i="4"/>
  <c r="C34" i="4"/>
  <c r="C33" i="4"/>
  <c r="C32" i="4"/>
  <c r="C29" i="4"/>
  <c r="C30" i="4"/>
  <c r="C28" i="4"/>
  <c r="C17" i="4"/>
  <c r="C18" i="4"/>
  <c r="C19" i="4"/>
  <c r="C20" i="4"/>
  <c r="C21" i="4"/>
  <c r="C22" i="4"/>
  <c r="C23" i="4"/>
  <c r="C24" i="4"/>
  <c r="C25" i="4"/>
  <c r="C26" i="4"/>
  <c r="C16" i="4"/>
  <c r="C9" i="4"/>
  <c r="C10" i="4"/>
  <c r="C11" i="4"/>
  <c r="C12" i="4"/>
  <c r="C13" i="4"/>
  <c r="C14" i="4"/>
  <c r="C8" i="4"/>
  <c r="C67" i="8"/>
  <c r="D67" i="8"/>
  <c r="AK67" i="8" s="1"/>
  <c r="C68" i="8"/>
  <c r="AD68" i="8" s="1"/>
  <c r="D68" i="8"/>
  <c r="V68" i="8" s="1"/>
  <c r="C69" i="8"/>
  <c r="U69" i="8" s="1"/>
  <c r="D69" i="8"/>
  <c r="C70" i="8"/>
  <c r="D70" i="8"/>
  <c r="C71" i="8"/>
  <c r="D71" i="8"/>
  <c r="C72" i="8"/>
  <c r="L72" i="8" s="1"/>
  <c r="D72" i="8"/>
  <c r="AN72" i="8" s="1"/>
  <c r="C73" i="8"/>
  <c r="AD73" i="8" s="1"/>
  <c r="D73" i="8"/>
  <c r="C74" i="8"/>
  <c r="X74" i="8" s="1"/>
  <c r="D74" i="8"/>
  <c r="P74" i="8" s="1"/>
  <c r="C75" i="8"/>
  <c r="AS75" i="8" s="1"/>
  <c r="D75" i="8"/>
  <c r="D66" i="8"/>
  <c r="AQ66" i="8" s="1"/>
  <c r="C66" i="8"/>
  <c r="D65" i="8"/>
  <c r="AE65" i="8" s="1"/>
  <c r="C65" i="8"/>
  <c r="AD65" i="8" s="1"/>
  <c r="D64" i="8"/>
  <c r="M64" i="8" s="1"/>
  <c r="C64" i="8"/>
  <c r="R64" i="8" s="1"/>
  <c r="C61" i="8"/>
  <c r="O61" i="8" s="1"/>
  <c r="D61" i="8"/>
  <c r="C62" i="8"/>
  <c r="AP62" i="8" s="1"/>
  <c r="D62" i="8"/>
  <c r="D60" i="8"/>
  <c r="V60" i="8" s="1"/>
  <c r="C60" i="8"/>
  <c r="C52" i="8"/>
  <c r="AJ52" i="8" s="1"/>
  <c r="D52" i="8"/>
  <c r="AK52" i="8" s="1"/>
  <c r="C53" i="8"/>
  <c r="AG53" i="8" s="1"/>
  <c r="D53" i="8"/>
  <c r="AH53" i="8" s="1"/>
  <c r="C54" i="8"/>
  <c r="L54" i="8" s="1"/>
  <c r="D54" i="8"/>
  <c r="C55" i="8"/>
  <c r="X55" i="8" s="1"/>
  <c r="D55" i="8"/>
  <c r="C56" i="8"/>
  <c r="D56" i="8"/>
  <c r="C57" i="8"/>
  <c r="AS57" i="8" s="1"/>
  <c r="D57" i="8"/>
  <c r="C58" i="8"/>
  <c r="AG58" i="8" s="1"/>
  <c r="D58" i="8"/>
  <c r="D51" i="8"/>
  <c r="S51" i="8" s="1"/>
  <c r="C51" i="8"/>
  <c r="C44" i="8"/>
  <c r="D44" i="8"/>
  <c r="C45" i="8"/>
  <c r="D45" i="8"/>
  <c r="V45" i="8" s="1"/>
  <c r="C46" i="8"/>
  <c r="D46" i="8"/>
  <c r="AK46" i="8" s="1"/>
  <c r="C47" i="8"/>
  <c r="AA47" i="8" s="1"/>
  <c r="D47" i="8"/>
  <c r="AW47" i="8" s="1"/>
  <c r="C48" i="8"/>
  <c r="X48" i="8" s="1"/>
  <c r="D48" i="8"/>
  <c r="Y48" i="8" s="1"/>
  <c r="C49" i="8"/>
  <c r="O49" i="8" s="1"/>
  <c r="D49" i="8"/>
  <c r="D43" i="8"/>
  <c r="C43" i="8"/>
  <c r="D42" i="8"/>
  <c r="C42" i="8"/>
  <c r="AD42" i="8" s="1"/>
  <c r="D40" i="8"/>
  <c r="M40" i="8" s="1"/>
  <c r="C40" i="8"/>
  <c r="L40" i="8" s="1"/>
  <c r="D39" i="8"/>
  <c r="C39" i="8"/>
  <c r="C35" i="8"/>
  <c r="D35" i="8"/>
  <c r="C36" i="8"/>
  <c r="AV36" i="8" s="1"/>
  <c r="D36" i="8"/>
  <c r="C37" i="8"/>
  <c r="AJ37" i="8" s="1"/>
  <c r="D37" i="8"/>
  <c r="P37" i="8" s="1"/>
  <c r="D34" i="8"/>
  <c r="V34" i="8" s="1"/>
  <c r="C34" i="8"/>
  <c r="U34" i="8" s="1"/>
  <c r="D33" i="8"/>
  <c r="C33" i="8"/>
  <c r="AV33" i="8" s="1"/>
  <c r="D32" i="8"/>
  <c r="AN32" i="8" s="1"/>
  <c r="C32" i="8"/>
  <c r="O32" i="8" s="1"/>
  <c r="C29" i="8"/>
  <c r="D29" i="8"/>
  <c r="S29" i="8" s="1"/>
  <c r="C30" i="8"/>
  <c r="AD30" i="8" s="1"/>
  <c r="D30" i="8"/>
  <c r="Y30" i="8" s="1"/>
  <c r="D28" i="8"/>
  <c r="C28" i="8"/>
  <c r="AD28" i="8" s="1"/>
  <c r="C17" i="8"/>
  <c r="D17" i="8"/>
  <c r="C18" i="8"/>
  <c r="D18" i="8"/>
  <c r="AQ18" i="8" s="1"/>
  <c r="C19" i="8"/>
  <c r="R19" i="8" s="1"/>
  <c r="D19" i="8"/>
  <c r="S19" i="8" s="1"/>
  <c r="C20" i="8"/>
  <c r="R20" i="8" s="1"/>
  <c r="D20" i="8"/>
  <c r="AH20" i="8" s="1"/>
  <c r="C21" i="8"/>
  <c r="AS21" i="8" s="1"/>
  <c r="D21" i="8"/>
  <c r="AW21" i="8" s="1"/>
  <c r="C22" i="8"/>
  <c r="L22" i="8" s="1"/>
  <c r="D22" i="8"/>
  <c r="M22" i="8" s="1"/>
  <c r="C23" i="8"/>
  <c r="AA23" i="8" s="1"/>
  <c r="D23" i="8"/>
  <c r="AB23" i="8" s="1"/>
  <c r="C24" i="8"/>
  <c r="O24" i="8" s="1"/>
  <c r="D24" i="8"/>
  <c r="AN24" i="8" s="1"/>
  <c r="C25" i="8"/>
  <c r="D25" i="8"/>
  <c r="AE25" i="8" s="1"/>
  <c r="C26" i="8"/>
  <c r="D26" i="8"/>
  <c r="D16" i="8"/>
  <c r="C16" i="8"/>
  <c r="C9" i="8"/>
  <c r="D9" i="8"/>
  <c r="AQ9" i="8" s="1"/>
  <c r="C10" i="8"/>
  <c r="AA10" i="8" s="1"/>
  <c r="D10" i="8"/>
  <c r="AB10" i="8" s="1"/>
  <c r="C11" i="8"/>
  <c r="X11" i="8" s="1"/>
  <c r="D11" i="8"/>
  <c r="Y11" i="8" s="1"/>
  <c r="C12" i="8"/>
  <c r="D12" i="8"/>
  <c r="C13" i="8"/>
  <c r="D13" i="8"/>
  <c r="C14" i="8"/>
  <c r="AS14" i="8" s="1"/>
  <c r="D14" i="8"/>
  <c r="AT14" i="8" s="1"/>
  <c r="D8" i="8"/>
  <c r="C8" i="8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D66" i="2"/>
  <c r="C66" i="2"/>
  <c r="D65" i="2"/>
  <c r="C65" i="2"/>
  <c r="D64" i="2"/>
  <c r="C64" i="2"/>
  <c r="C61" i="2"/>
  <c r="D61" i="2"/>
  <c r="C62" i="2"/>
  <c r="D62" i="2"/>
  <c r="D60" i="2"/>
  <c r="C60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D51" i="2"/>
  <c r="C51" i="2"/>
  <c r="C44" i="2"/>
  <c r="D44" i="2"/>
  <c r="C45" i="2"/>
  <c r="D45" i="2"/>
  <c r="D46" i="2"/>
  <c r="C47" i="2"/>
  <c r="D47" i="2"/>
  <c r="C48" i="2"/>
  <c r="D48" i="2"/>
  <c r="C49" i="2"/>
  <c r="D49" i="2"/>
  <c r="D43" i="2"/>
  <c r="C43" i="2"/>
  <c r="D42" i="2"/>
  <c r="C42" i="2"/>
  <c r="D40" i="2"/>
  <c r="C40" i="2"/>
  <c r="D39" i="2"/>
  <c r="C39" i="2"/>
  <c r="C35" i="2"/>
  <c r="D35" i="2"/>
  <c r="C36" i="2"/>
  <c r="D36" i="2"/>
  <c r="C37" i="2"/>
  <c r="D37" i="2"/>
  <c r="D34" i="2"/>
  <c r="C34" i="2"/>
  <c r="D33" i="2"/>
  <c r="C33" i="2"/>
  <c r="D32" i="2"/>
  <c r="C32" i="2"/>
  <c r="C29" i="2"/>
  <c r="D29" i="2"/>
  <c r="C30" i="2"/>
  <c r="D30" i="2"/>
  <c r="D28" i="2"/>
  <c r="C28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D16" i="2"/>
  <c r="C16" i="2"/>
  <c r="D9" i="2"/>
  <c r="D10" i="2"/>
  <c r="D11" i="2"/>
  <c r="D12" i="2"/>
  <c r="D13" i="2"/>
  <c r="D14" i="2"/>
  <c r="D8" i="2"/>
  <c r="C9" i="2"/>
  <c r="C10" i="2"/>
  <c r="C11" i="2"/>
  <c r="C12" i="2"/>
  <c r="C13" i="2"/>
  <c r="C14" i="2"/>
  <c r="C8" i="2"/>
  <c r="D77" i="6"/>
  <c r="Z49" i="2"/>
  <c r="AO52" i="2"/>
  <c r="AP52" i="2" s="1"/>
  <c r="E55" i="2"/>
  <c r="H55" i="2"/>
  <c r="K55" i="2"/>
  <c r="N55" i="2"/>
  <c r="Q55" i="2"/>
  <c r="T55" i="2"/>
  <c r="W55" i="2"/>
  <c r="Z55" i="2"/>
  <c r="AC55" i="2"/>
  <c r="AF55" i="2"/>
  <c r="AI55" i="2"/>
  <c r="AL55" i="2"/>
  <c r="AO55" i="2"/>
  <c r="AR55" i="2"/>
  <c r="E34" i="2"/>
  <c r="H34" i="2"/>
  <c r="K34" i="2"/>
  <c r="N34" i="2"/>
  <c r="Q34" i="2"/>
  <c r="T34" i="2"/>
  <c r="W34" i="2"/>
  <c r="Z34" i="2"/>
  <c r="AC34" i="2"/>
  <c r="AF34" i="2"/>
  <c r="AI34" i="2"/>
  <c r="AO34" i="2"/>
  <c r="AR34" i="2"/>
  <c r="Z48" i="2"/>
  <c r="E46" i="2"/>
  <c r="F46" i="2" s="1"/>
  <c r="H46" i="2"/>
  <c r="J46" i="2" s="1"/>
  <c r="K46" i="2"/>
  <c r="M46" i="2" s="1"/>
  <c r="N46" i="2"/>
  <c r="P46" i="2" s="1"/>
  <c r="Q46" i="2"/>
  <c r="R46" i="2" s="1"/>
  <c r="T46" i="2"/>
  <c r="W46" i="2"/>
  <c r="Z46" i="2"/>
  <c r="AC46" i="2"/>
  <c r="AD46" i="2" s="1"/>
  <c r="AF46" i="2"/>
  <c r="AI46" i="2"/>
  <c r="AK46" i="2" s="1"/>
  <c r="AL46" i="2"/>
  <c r="AN46" i="2" s="1"/>
  <c r="AO46" i="2"/>
  <c r="AP46" i="2" s="1"/>
  <c r="AR46" i="2"/>
  <c r="AT46" i="2" s="1"/>
  <c r="AU46" i="2"/>
  <c r="AW46" i="2" s="1"/>
  <c r="E37" i="2"/>
  <c r="H37" i="2"/>
  <c r="K37" i="2"/>
  <c r="N37" i="2"/>
  <c r="Q37" i="2"/>
  <c r="T37" i="2"/>
  <c r="W37" i="2"/>
  <c r="Z37" i="2"/>
  <c r="AC37" i="2"/>
  <c r="AL37" i="2"/>
  <c r="AO37" i="2"/>
  <c r="AR37" i="2"/>
  <c r="AU37" i="2"/>
  <c r="E9" i="7"/>
  <c r="F9" i="7" s="1"/>
  <c r="G9" i="7"/>
  <c r="H9" i="7"/>
  <c r="I9" i="7" s="1"/>
  <c r="K9" i="7"/>
  <c r="M9" i="7" s="1"/>
  <c r="N9" i="7"/>
  <c r="O9" i="7"/>
  <c r="P9" i="7"/>
  <c r="Q9" i="7"/>
  <c r="S9" i="7" s="1"/>
  <c r="T9" i="7"/>
  <c r="W9" i="7"/>
  <c r="X9" i="7" s="1"/>
  <c r="Z9" i="7"/>
  <c r="AA9" i="7" s="1"/>
  <c r="AC9" i="7"/>
  <c r="AD9" i="7" s="1"/>
  <c r="AE9" i="7"/>
  <c r="AF9" i="7"/>
  <c r="AG9" i="7" s="1"/>
  <c r="AI9" i="7"/>
  <c r="AK9" i="7" s="1"/>
  <c r="AL9" i="7"/>
  <c r="AM9" i="7"/>
  <c r="AN9" i="7"/>
  <c r="AO9" i="7"/>
  <c r="AQ9" i="7" s="1"/>
  <c r="AR9" i="7"/>
  <c r="AU9" i="7"/>
  <c r="AV9" i="7" s="1"/>
  <c r="E10" i="7"/>
  <c r="F10" i="7"/>
  <c r="G10" i="7"/>
  <c r="H10" i="7"/>
  <c r="K10" i="7"/>
  <c r="N10" i="7"/>
  <c r="O10" i="7" s="1"/>
  <c r="P10" i="7"/>
  <c r="Q10" i="7"/>
  <c r="R10" i="7" s="1"/>
  <c r="T10" i="7"/>
  <c r="U10" i="7" s="1"/>
  <c r="V10" i="7"/>
  <c r="W10" i="7"/>
  <c r="X10" i="7" s="1"/>
  <c r="Z10" i="7"/>
  <c r="AB10" i="7" s="1"/>
  <c r="AC10" i="7"/>
  <c r="AD10" i="7"/>
  <c r="AE10" i="7"/>
  <c r="AF10" i="7"/>
  <c r="AH10" i="7" s="1"/>
  <c r="AI10" i="7"/>
  <c r="AL10" i="7"/>
  <c r="AM10" i="7" s="1"/>
  <c r="AO10" i="7"/>
  <c r="AP10" i="7" s="1"/>
  <c r="AQ10" i="7"/>
  <c r="AR10" i="7"/>
  <c r="AU10" i="7"/>
  <c r="AV10" i="7" s="1"/>
  <c r="E11" i="7"/>
  <c r="F11" i="7" s="1"/>
  <c r="G11" i="7"/>
  <c r="H11" i="7"/>
  <c r="K11" i="7"/>
  <c r="N11" i="7"/>
  <c r="O11" i="7" s="1"/>
  <c r="Q11" i="7"/>
  <c r="S11" i="7" s="1"/>
  <c r="R11" i="7"/>
  <c r="T11" i="7"/>
  <c r="U11" i="7"/>
  <c r="V11" i="7"/>
  <c r="W11" i="7"/>
  <c r="Y11" i="7" s="1"/>
  <c r="Z11" i="7"/>
  <c r="AC11" i="7"/>
  <c r="AD11" i="7" s="1"/>
  <c r="AF11" i="7"/>
  <c r="AG11" i="7" s="1"/>
  <c r="AH11" i="7"/>
  <c r="AI11" i="7"/>
  <c r="AJ11" i="7" s="1"/>
  <c r="AL11" i="7"/>
  <c r="AM11" i="7"/>
  <c r="AN11" i="7"/>
  <c r="AO11" i="7"/>
  <c r="AQ11" i="7" s="1"/>
  <c r="AP11" i="7"/>
  <c r="AR11" i="7"/>
  <c r="AU11" i="7"/>
  <c r="AW11" i="7" s="1"/>
  <c r="AV11" i="7"/>
  <c r="E12" i="7"/>
  <c r="F12" i="7" s="1"/>
  <c r="G12" i="7"/>
  <c r="H12" i="7"/>
  <c r="K12" i="7"/>
  <c r="M12" i="7" s="1"/>
  <c r="N12" i="7"/>
  <c r="O12" i="7" s="1"/>
  <c r="Q12" i="7"/>
  <c r="T12" i="7"/>
  <c r="U12" i="7" s="1"/>
  <c r="V12" i="7"/>
  <c r="W12" i="7"/>
  <c r="Z12" i="7"/>
  <c r="AA12" i="7" s="1"/>
  <c r="AC12" i="7"/>
  <c r="AD12" i="7" s="1"/>
  <c r="AF12" i="7"/>
  <c r="AH12" i="7" s="1"/>
  <c r="AG12" i="7"/>
  <c r="AI12" i="7"/>
  <c r="AK12" i="7" s="1"/>
  <c r="AL12" i="7"/>
  <c r="AN12" i="7" s="1"/>
  <c r="AO12" i="7"/>
  <c r="AR12" i="7"/>
  <c r="AS12" i="7" s="1"/>
  <c r="AT12" i="7"/>
  <c r="AU12" i="7"/>
  <c r="AV12" i="7" s="1"/>
  <c r="AW12" i="7"/>
  <c r="E13" i="7"/>
  <c r="F13" i="7" s="1"/>
  <c r="H13" i="7"/>
  <c r="K13" i="7"/>
  <c r="L13" i="7" s="1"/>
  <c r="N13" i="7"/>
  <c r="O13" i="7" s="1"/>
  <c r="P13" i="7"/>
  <c r="Q13" i="7"/>
  <c r="T13" i="7"/>
  <c r="U13" i="7" s="1"/>
  <c r="W13" i="7"/>
  <c r="Y13" i="7" s="1"/>
  <c r="Z13" i="7"/>
  <c r="AB13" i="7" s="1"/>
  <c r="AA13" i="7"/>
  <c r="AC13" i="7"/>
  <c r="AE13" i="7" s="1"/>
  <c r="AF13" i="7"/>
  <c r="AI13" i="7"/>
  <c r="AJ13" i="7" s="1"/>
  <c r="AL13" i="7"/>
  <c r="AM13" i="7" s="1"/>
  <c r="AO13" i="7"/>
  <c r="AR13" i="7"/>
  <c r="AS13" i="7" s="1"/>
  <c r="AU13" i="7"/>
  <c r="AW13" i="7" s="1"/>
  <c r="AV13" i="7"/>
  <c r="E14" i="7"/>
  <c r="H14" i="7"/>
  <c r="I14" i="7" s="1"/>
  <c r="K14" i="7"/>
  <c r="L14" i="7" s="1"/>
  <c r="N14" i="7"/>
  <c r="O14" i="7"/>
  <c r="P14" i="7"/>
  <c r="Q14" i="7"/>
  <c r="S14" i="7" s="1"/>
  <c r="T14" i="7"/>
  <c r="V14" i="7" s="1"/>
  <c r="W14" i="7"/>
  <c r="Z14" i="7"/>
  <c r="AA14" i="7" s="1"/>
  <c r="AB14" i="7"/>
  <c r="AC14" i="7"/>
  <c r="AF14" i="7"/>
  <c r="AG14" i="7" s="1"/>
  <c r="AI14" i="7"/>
  <c r="AJ14" i="7" s="1"/>
  <c r="AL14" i="7"/>
  <c r="AM14" i="7"/>
  <c r="AN14" i="7"/>
  <c r="AO14" i="7"/>
  <c r="AQ14" i="7" s="1"/>
  <c r="AR14" i="7"/>
  <c r="AT14" i="7" s="1"/>
  <c r="AU14" i="7"/>
  <c r="E16" i="7"/>
  <c r="H16" i="7"/>
  <c r="I16" i="7" s="1"/>
  <c r="K16" i="7"/>
  <c r="L16" i="7" s="1"/>
  <c r="M16" i="7"/>
  <c r="N16" i="7"/>
  <c r="O16" i="7" s="1"/>
  <c r="Q16" i="7"/>
  <c r="R16" i="7"/>
  <c r="S16" i="7"/>
  <c r="T16" i="7"/>
  <c r="U16" i="7" s="1"/>
  <c r="W16" i="7"/>
  <c r="Y16" i="7" s="1"/>
  <c r="Z16" i="7"/>
  <c r="AB16" i="7" s="1"/>
  <c r="AC16" i="7"/>
  <c r="AF16" i="7"/>
  <c r="AG16" i="7" s="1"/>
  <c r="AI16" i="7"/>
  <c r="AJ16" i="7" s="1"/>
  <c r="AL16" i="7"/>
  <c r="AM16" i="7" s="1"/>
  <c r="AO16" i="7"/>
  <c r="AP16" i="7" s="1"/>
  <c r="AQ16" i="7"/>
  <c r="AR16" i="7"/>
  <c r="AU16" i="7"/>
  <c r="AW16" i="7" s="1"/>
  <c r="E17" i="7"/>
  <c r="F17" i="7" s="1"/>
  <c r="H17" i="7"/>
  <c r="I17" i="7"/>
  <c r="J17" i="7"/>
  <c r="K17" i="7"/>
  <c r="L17" i="7" s="1"/>
  <c r="N17" i="7"/>
  <c r="P17" i="7" s="1"/>
  <c r="Q17" i="7"/>
  <c r="T17" i="7"/>
  <c r="W17" i="7"/>
  <c r="X17" i="7" s="1"/>
  <c r="Z17" i="7"/>
  <c r="AA17" i="7" s="1"/>
  <c r="AC17" i="7"/>
  <c r="AD17" i="7" s="1"/>
  <c r="AE17" i="7"/>
  <c r="AF17" i="7"/>
  <c r="AG17" i="7"/>
  <c r="AH17" i="7"/>
  <c r="AI17" i="7"/>
  <c r="AJ17" i="7" s="1"/>
  <c r="AL17" i="7"/>
  <c r="AN17" i="7" s="1"/>
  <c r="AM17" i="7"/>
  <c r="AO17" i="7"/>
  <c r="AQ17" i="7" s="1"/>
  <c r="AP17" i="7"/>
  <c r="AR17" i="7"/>
  <c r="AU17" i="7"/>
  <c r="AV17" i="7" s="1"/>
  <c r="E18" i="7"/>
  <c r="G18" i="7" s="1"/>
  <c r="H18" i="7"/>
  <c r="K18" i="7"/>
  <c r="N18" i="7"/>
  <c r="O18" i="7" s="1"/>
  <c r="Q18" i="7"/>
  <c r="R18" i="7" s="1"/>
  <c r="T18" i="7"/>
  <c r="U18" i="7" s="1"/>
  <c r="W18" i="7"/>
  <c r="X18" i="7" s="1"/>
  <c r="Z18" i="7"/>
  <c r="AA18" i="7"/>
  <c r="AB18" i="7"/>
  <c r="AC18" i="7"/>
  <c r="AE18" i="7" s="1"/>
  <c r="AF18" i="7"/>
  <c r="AH18" i="7" s="1"/>
  <c r="AI18" i="7"/>
  <c r="AL18" i="7"/>
  <c r="AM18" i="7" s="1"/>
  <c r="AN18" i="7"/>
  <c r="AO18" i="7"/>
  <c r="AR18" i="7"/>
  <c r="AS18" i="7" s="1"/>
  <c r="AU18" i="7"/>
  <c r="AV18" i="7" s="1"/>
  <c r="E19" i="7"/>
  <c r="H19" i="7"/>
  <c r="I19" i="7" s="1"/>
  <c r="K19" i="7"/>
  <c r="N19" i="7"/>
  <c r="O19" i="7" s="1"/>
  <c r="Q19" i="7"/>
  <c r="R19" i="7" s="1"/>
  <c r="S19" i="7"/>
  <c r="T19" i="7"/>
  <c r="W19" i="7"/>
  <c r="Y19" i="7" s="1"/>
  <c r="Z19" i="7"/>
  <c r="AC19" i="7"/>
  <c r="AD19" i="7" s="1"/>
  <c r="AF19" i="7"/>
  <c r="AG19" i="7" s="1"/>
  <c r="AH19" i="7"/>
  <c r="AI19" i="7"/>
  <c r="AJ19" i="7" s="1"/>
  <c r="AL19" i="7"/>
  <c r="AM19" i="7" s="1"/>
  <c r="AO19" i="7"/>
  <c r="AP19" i="7"/>
  <c r="AQ19" i="7"/>
  <c r="AR19" i="7"/>
  <c r="AT19" i="7" s="1"/>
  <c r="AU19" i="7"/>
  <c r="E20" i="7"/>
  <c r="F20" i="7" s="1"/>
  <c r="H20" i="7"/>
  <c r="I20" i="7"/>
  <c r="J20" i="7"/>
  <c r="K20" i="7"/>
  <c r="M20" i="7" s="1"/>
  <c r="N20" i="7"/>
  <c r="O20" i="7" s="1"/>
  <c r="Q20" i="7"/>
  <c r="T20" i="7"/>
  <c r="U20" i="7" s="1"/>
  <c r="V20" i="7"/>
  <c r="W20" i="7"/>
  <c r="Z20" i="7"/>
  <c r="AA20" i="7" s="1"/>
  <c r="AC20" i="7"/>
  <c r="AD20" i="7" s="1"/>
  <c r="AF20" i="7"/>
  <c r="AG20" i="7"/>
  <c r="AH20" i="7"/>
  <c r="AI20" i="7"/>
  <c r="AK20" i="7" s="1"/>
  <c r="AL20" i="7"/>
  <c r="AN20" i="7" s="1"/>
  <c r="AO20" i="7"/>
  <c r="AR20" i="7"/>
  <c r="AS20" i="7" s="1"/>
  <c r="AT20" i="7"/>
  <c r="AU20" i="7"/>
  <c r="AV20" i="7" s="1"/>
  <c r="E21" i="7"/>
  <c r="F21" i="7" s="1"/>
  <c r="H21" i="7"/>
  <c r="K21" i="7"/>
  <c r="L21" i="7" s="1"/>
  <c r="M21" i="7"/>
  <c r="N21" i="7"/>
  <c r="Q21" i="7"/>
  <c r="R21" i="7" s="1"/>
  <c r="T21" i="7"/>
  <c r="U21" i="7" s="1"/>
  <c r="W21" i="7"/>
  <c r="X21" i="7"/>
  <c r="Y21" i="7"/>
  <c r="Z21" i="7"/>
  <c r="AB21" i="7" s="1"/>
  <c r="AC21" i="7"/>
  <c r="AE21" i="7" s="1"/>
  <c r="AF21" i="7"/>
  <c r="AI21" i="7"/>
  <c r="AL21" i="7"/>
  <c r="AM21" i="7" s="1"/>
  <c r="AO21" i="7"/>
  <c r="AR21" i="7"/>
  <c r="AS21" i="7" s="1"/>
  <c r="AU21" i="7"/>
  <c r="AV21" i="7"/>
  <c r="AW21" i="7"/>
  <c r="E22" i="7"/>
  <c r="H22" i="7"/>
  <c r="I22" i="7" s="1"/>
  <c r="K22" i="7"/>
  <c r="L22" i="7" s="1"/>
  <c r="N22" i="7"/>
  <c r="O22" i="7"/>
  <c r="P22" i="7"/>
  <c r="Q22" i="7"/>
  <c r="S22" i="7" s="1"/>
  <c r="T22" i="7"/>
  <c r="V22" i="7" s="1"/>
  <c r="W22" i="7"/>
  <c r="Z22" i="7"/>
  <c r="AA22" i="7" s="1"/>
  <c r="AC22" i="7"/>
  <c r="AD22" i="7" s="1"/>
  <c r="AE22" i="7"/>
  <c r="AF22" i="7"/>
  <c r="AG22" i="7" s="1"/>
  <c r="AI22" i="7"/>
  <c r="AJ22" i="7" s="1"/>
  <c r="AL22" i="7"/>
  <c r="AM22" i="7"/>
  <c r="AN22" i="7"/>
  <c r="AO22" i="7"/>
  <c r="AQ22" i="7" s="1"/>
  <c r="AR22" i="7"/>
  <c r="AT22" i="7" s="1"/>
  <c r="AU22" i="7"/>
  <c r="E23" i="7"/>
  <c r="F23" i="7"/>
  <c r="G23" i="7"/>
  <c r="H23" i="7"/>
  <c r="J23" i="7" s="1"/>
  <c r="K23" i="7"/>
  <c r="M23" i="7" s="1"/>
  <c r="N23" i="7"/>
  <c r="Q23" i="7"/>
  <c r="R23" i="7" s="1"/>
  <c r="S23" i="7"/>
  <c r="T23" i="7"/>
  <c r="W23" i="7"/>
  <c r="X23" i="7" s="1"/>
  <c r="Z23" i="7"/>
  <c r="AA23" i="7" s="1"/>
  <c r="AC23" i="7"/>
  <c r="AD23" i="7"/>
  <c r="AE23" i="7"/>
  <c r="AF23" i="7"/>
  <c r="AH23" i="7" s="1"/>
  <c r="AI23" i="7"/>
  <c r="AK23" i="7" s="1"/>
  <c r="AL23" i="7"/>
  <c r="AO23" i="7"/>
  <c r="AP23" i="7" s="1"/>
  <c r="AR23" i="7"/>
  <c r="AU23" i="7"/>
  <c r="AV23" i="7" s="1"/>
  <c r="E24" i="7"/>
  <c r="H24" i="7"/>
  <c r="I24" i="7" s="1"/>
  <c r="J24" i="7"/>
  <c r="K24" i="7"/>
  <c r="L24" i="7" s="1"/>
  <c r="N24" i="7"/>
  <c r="Q24" i="7"/>
  <c r="R24" i="7" s="1"/>
  <c r="T24" i="7"/>
  <c r="U24" i="7" s="1"/>
  <c r="V24" i="7"/>
  <c r="W24" i="7"/>
  <c r="Z24" i="7"/>
  <c r="AB24" i="7" s="1"/>
  <c r="AC24" i="7"/>
  <c r="AF24" i="7"/>
  <c r="AG24" i="7" s="1"/>
  <c r="AI24" i="7"/>
  <c r="AJ24" i="7" s="1"/>
  <c r="AK24" i="7"/>
  <c r="AL24" i="7"/>
  <c r="AM24" i="7" s="1"/>
  <c r="AO24" i="7"/>
  <c r="AP24" i="7" s="1"/>
  <c r="AR24" i="7"/>
  <c r="AS24" i="7"/>
  <c r="AT24" i="7"/>
  <c r="AU24" i="7"/>
  <c r="AW24" i="7" s="1"/>
  <c r="E25" i="7"/>
  <c r="F25" i="7" s="1"/>
  <c r="H25" i="7"/>
  <c r="I25" i="7"/>
  <c r="J25" i="7"/>
  <c r="K25" i="7"/>
  <c r="L25" i="7" s="1"/>
  <c r="N25" i="7"/>
  <c r="P25" i="7" s="1"/>
  <c r="Q25" i="7"/>
  <c r="R25" i="7"/>
  <c r="T25" i="7"/>
  <c r="W25" i="7"/>
  <c r="X25" i="7" s="1"/>
  <c r="Z25" i="7"/>
  <c r="AA25" i="7" s="1"/>
  <c r="AC25" i="7"/>
  <c r="AD25" i="7" s="1"/>
  <c r="AF25" i="7"/>
  <c r="AG25" i="7"/>
  <c r="AH25" i="7"/>
  <c r="AI25" i="7"/>
  <c r="AJ25" i="7" s="1"/>
  <c r="AL25" i="7"/>
  <c r="AN25" i="7" s="1"/>
  <c r="AO25" i="7"/>
  <c r="AR25" i="7"/>
  <c r="AU25" i="7"/>
  <c r="E26" i="7"/>
  <c r="G26" i="7" s="1"/>
  <c r="H26" i="7"/>
  <c r="J26" i="7" s="1"/>
  <c r="K26" i="7"/>
  <c r="N26" i="7"/>
  <c r="O26" i="7" s="1"/>
  <c r="P26" i="7"/>
  <c r="Q26" i="7"/>
  <c r="R26" i="7" s="1"/>
  <c r="T26" i="7"/>
  <c r="W26" i="7"/>
  <c r="X26" i="7" s="1"/>
  <c r="Z26" i="7"/>
  <c r="AA26" i="7"/>
  <c r="AB26" i="7"/>
  <c r="AC26" i="7"/>
  <c r="AE26" i="7" s="1"/>
  <c r="AF26" i="7"/>
  <c r="AH26" i="7" s="1"/>
  <c r="AI26" i="7"/>
  <c r="AK26" i="7" s="1"/>
  <c r="AL26" i="7"/>
  <c r="AM26" i="7" s="1"/>
  <c r="AN26" i="7"/>
  <c r="AO26" i="7"/>
  <c r="AR26" i="7"/>
  <c r="AS26" i="7" s="1"/>
  <c r="AU26" i="7"/>
  <c r="AV26" i="7" s="1"/>
  <c r="E28" i="7"/>
  <c r="F28" i="7"/>
  <c r="G28" i="7"/>
  <c r="H28" i="7"/>
  <c r="I28" i="7" s="1"/>
  <c r="K28" i="7"/>
  <c r="M28" i="7" s="1"/>
  <c r="N28" i="7"/>
  <c r="Q28" i="7"/>
  <c r="R28" i="7" s="1"/>
  <c r="T28" i="7"/>
  <c r="U28" i="7" s="1"/>
  <c r="W28" i="7"/>
  <c r="X28" i="7" s="1"/>
  <c r="Z28" i="7"/>
  <c r="AB28" i="7" s="1"/>
  <c r="AC28" i="7"/>
  <c r="AD28" i="7" s="1"/>
  <c r="AF28" i="7"/>
  <c r="AG28" i="7"/>
  <c r="AH28" i="7"/>
  <c r="AI28" i="7"/>
  <c r="AK28" i="7" s="1"/>
  <c r="AL28" i="7"/>
  <c r="AN28" i="7" s="1"/>
  <c r="AO28" i="7"/>
  <c r="AP28" i="7" s="1"/>
  <c r="AQ28" i="7"/>
  <c r="AR28" i="7"/>
  <c r="AU28" i="7"/>
  <c r="AV28" i="7" s="1"/>
  <c r="E29" i="7"/>
  <c r="H29" i="7"/>
  <c r="I29" i="7"/>
  <c r="J29" i="7"/>
  <c r="K29" i="7"/>
  <c r="N29" i="7"/>
  <c r="Q29" i="7"/>
  <c r="R29" i="7" s="1"/>
  <c r="T29" i="7"/>
  <c r="U29" i="7"/>
  <c r="V29" i="7"/>
  <c r="W29" i="7"/>
  <c r="Y29" i="7" s="1"/>
  <c r="Z29" i="7"/>
  <c r="AB29" i="7" s="1"/>
  <c r="AC29" i="7"/>
  <c r="AD29" i="7" s="1"/>
  <c r="AE29" i="7"/>
  <c r="AF29" i="7"/>
  <c r="AI29" i="7"/>
  <c r="AJ29" i="7" s="1"/>
  <c r="AL29" i="7"/>
  <c r="AM29" i="7" s="1"/>
  <c r="AO29" i="7"/>
  <c r="AQ29" i="7" s="1"/>
  <c r="AP29" i="7"/>
  <c r="AR29" i="7"/>
  <c r="AS29" i="7" s="1"/>
  <c r="AU29" i="7"/>
  <c r="E30" i="7"/>
  <c r="F30" i="7" s="1"/>
  <c r="H30" i="7"/>
  <c r="K30" i="7"/>
  <c r="N30" i="7"/>
  <c r="O30" i="7" s="1"/>
  <c r="Q30" i="7"/>
  <c r="S30" i="7" s="1"/>
  <c r="R30" i="7"/>
  <c r="T30" i="7"/>
  <c r="W30" i="7"/>
  <c r="Y30" i="7" s="1"/>
  <c r="Z30" i="7"/>
  <c r="AA30" i="7" s="1"/>
  <c r="AC30" i="7"/>
  <c r="AD30" i="7" s="1"/>
  <c r="AE30" i="7"/>
  <c r="AF30" i="7"/>
  <c r="AI30" i="7"/>
  <c r="AL30" i="7"/>
  <c r="AM30" i="7" s="1"/>
  <c r="AO30" i="7"/>
  <c r="AQ30" i="7" s="1"/>
  <c r="AP30" i="7"/>
  <c r="AR30" i="7"/>
  <c r="AU30" i="7"/>
  <c r="AW30" i="7" s="1"/>
  <c r="E32" i="7"/>
  <c r="H32" i="7"/>
  <c r="I32" i="7" s="1"/>
  <c r="K32" i="7"/>
  <c r="L32" i="7" s="1"/>
  <c r="M32" i="7"/>
  <c r="N32" i="7"/>
  <c r="Q32" i="7"/>
  <c r="R32" i="7" s="1"/>
  <c r="T32" i="7"/>
  <c r="U32" i="7" s="1"/>
  <c r="W32" i="7"/>
  <c r="X32" i="7"/>
  <c r="Y32" i="7"/>
  <c r="Z32" i="7"/>
  <c r="AB32" i="7" s="1"/>
  <c r="AC32" i="7"/>
  <c r="AE32" i="7" s="1"/>
  <c r="AF32" i="7"/>
  <c r="AG32" i="7" s="1"/>
  <c r="AI32" i="7"/>
  <c r="AJ32" i="7" s="1"/>
  <c r="AK32" i="7"/>
  <c r="AL32" i="7"/>
  <c r="AO32" i="7"/>
  <c r="AP32" i="7" s="1"/>
  <c r="AR32" i="7"/>
  <c r="AS32" i="7"/>
  <c r="AT32" i="7"/>
  <c r="AU32" i="7"/>
  <c r="E33" i="7"/>
  <c r="H33" i="7"/>
  <c r="I33" i="7" s="1"/>
  <c r="K33" i="7"/>
  <c r="L33" i="7"/>
  <c r="M33" i="7"/>
  <c r="N33" i="7"/>
  <c r="O33" i="7" s="1"/>
  <c r="Q33" i="7"/>
  <c r="S33" i="7" s="1"/>
  <c r="T33" i="7"/>
  <c r="V33" i="7" s="1"/>
  <c r="U33" i="7"/>
  <c r="W33" i="7"/>
  <c r="X33" i="7" s="1"/>
  <c r="Z33" i="7"/>
  <c r="AA33" i="7" s="1"/>
  <c r="AC33" i="7"/>
  <c r="AF33" i="7"/>
  <c r="AG33" i="7" s="1"/>
  <c r="AI33" i="7"/>
  <c r="AJ33" i="7"/>
  <c r="AK33" i="7"/>
  <c r="AL33" i="7"/>
  <c r="AM33" i="7" s="1"/>
  <c r="AO33" i="7"/>
  <c r="AQ33" i="7" s="1"/>
  <c r="AR33" i="7"/>
  <c r="AT33" i="7" s="1"/>
  <c r="AS33" i="7"/>
  <c r="AU33" i="7"/>
  <c r="AV33" i="7" s="1"/>
  <c r="E34" i="7"/>
  <c r="F34" i="7" s="1"/>
  <c r="H34" i="7"/>
  <c r="J34" i="7" s="1"/>
  <c r="K34" i="7"/>
  <c r="L34" i="7"/>
  <c r="N34" i="7"/>
  <c r="O34" i="7" s="1"/>
  <c r="Q34" i="7"/>
  <c r="R34" i="7" s="1"/>
  <c r="T34" i="7"/>
  <c r="W34" i="7"/>
  <c r="X34" i="7" s="1"/>
  <c r="Z34" i="7"/>
  <c r="AA34" i="7"/>
  <c r="AB34" i="7"/>
  <c r="AC34" i="7"/>
  <c r="AD34" i="7" s="1"/>
  <c r="AF34" i="7"/>
  <c r="AH34" i="7" s="1"/>
  <c r="AI34" i="7"/>
  <c r="AK34" i="7" s="1"/>
  <c r="AJ34" i="7"/>
  <c r="AL34" i="7"/>
  <c r="AM34" i="7" s="1"/>
  <c r="AO34" i="7"/>
  <c r="AP34" i="7" s="1"/>
  <c r="AR34" i="7"/>
  <c r="AU34" i="7"/>
  <c r="AV34" i="7" s="1"/>
  <c r="E35" i="7"/>
  <c r="F35" i="7" s="1"/>
  <c r="H35" i="7"/>
  <c r="K35" i="7"/>
  <c r="N35" i="7"/>
  <c r="O35" i="7" s="1"/>
  <c r="Q35" i="7"/>
  <c r="S35" i="7" s="1"/>
  <c r="T35" i="7"/>
  <c r="W35" i="7"/>
  <c r="X35" i="7" s="1"/>
  <c r="Z35" i="7"/>
  <c r="AC35" i="7"/>
  <c r="AD35" i="7" s="1"/>
  <c r="AF35" i="7"/>
  <c r="AI35" i="7"/>
  <c r="AL35" i="7"/>
  <c r="AM35" i="7" s="1"/>
  <c r="AO35" i="7"/>
  <c r="AQ35" i="7" s="1"/>
  <c r="AR35" i="7"/>
  <c r="AU35" i="7"/>
  <c r="AV35" i="7" s="1"/>
  <c r="E36" i="7"/>
  <c r="F36" i="7" s="1"/>
  <c r="G36" i="7"/>
  <c r="H36" i="7"/>
  <c r="K36" i="7"/>
  <c r="L36" i="7" s="1"/>
  <c r="N36" i="7"/>
  <c r="O36" i="7"/>
  <c r="P36" i="7"/>
  <c r="Q36" i="7"/>
  <c r="S36" i="7" s="1"/>
  <c r="T36" i="7"/>
  <c r="U36" i="7" s="1"/>
  <c r="W36" i="7"/>
  <c r="X36" i="7" s="1"/>
  <c r="Z36" i="7"/>
  <c r="AC36" i="7"/>
  <c r="AD36" i="7" s="1"/>
  <c r="AE36" i="7"/>
  <c r="AF36" i="7"/>
  <c r="AI36" i="7"/>
  <c r="AJ36" i="7" s="1"/>
  <c r="AL36" i="7"/>
  <c r="AM36" i="7"/>
  <c r="AN36" i="7"/>
  <c r="AO36" i="7"/>
  <c r="AQ36" i="7" s="1"/>
  <c r="AR36" i="7"/>
  <c r="AS36" i="7" s="1"/>
  <c r="AU36" i="7"/>
  <c r="AV36" i="7" s="1"/>
  <c r="AW36" i="7"/>
  <c r="E37" i="7"/>
  <c r="F37" i="7"/>
  <c r="G37" i="7"/>
  <c r="H37" i="7"/>
  <c r="K37" i="7"/>
  <c r="L37" i="7" s="1"/>
  <c r="N37" i="7"/>
  <c r="O37" i="7" s="1"/>
  <c r="Q37" i="7"/>
  <c r="T37" i="7"/>
  <c r="U37" i="7" s="1"/>
  <c r="V37" i="7"/>
  <c r="W37" i="7"/>
  <c r="Z37" i="7"/>
  <c r="AA37" i="7" s="1"/>
  <c r="AC37" i="7"/>
  <c r="AD37" i="7" s="1"/>
  <c r="AE37" i="7"/>
  <c r="AF37" i="7"/>
  <c r="AH37" i="7" s="1"/>
  <c r="AI37" i="7"/>
  <c r="AJ37" i="7" s="1"/>
  <c r="AL37" i="7"/>
  <c r="AM37" i="7" s="1"/>
  <c r="AN37" i="7"/>
  <c r="AO37" i="7"/>
  <c r="AR37" i="7"/>
  <c r="AS37" i="7" s="1"/>
  <c r="AT37" i="7"/>
  <c r="AU37" i="7"/>
  <c r="AV37" i="7" s="1"/>
  <c r="E39" i="7"/>
  <c r="G39" i="7" s="1"/>
  <c r="F39" i="7"/>
  <c r="H39" i="7"/>
  <c r="I39" i="7"/>
  <c r="J39" i="7"/>
  <c r="K39" i="7"/>
  <c r="M39" i="7" s="1"/>
  <c r="N39" i="7"/>
  <c r="O39" i="7" s="1"/>
  <c r="Q39" i="7"/>
  <c r="T39" i="7"/>
  <c r="U39" i="7" s="1"/>
  <c r="W39" i="7"/>
  <c r="X39" i="7" s="1"/>
  <c r="Z39" i="7"/>
  <c r="AA39" i="7" s="1"/>
  <c r="AC39" i="7"/>
  <c r="AD39" i="7" s="1"/>
  <c r="AF39" i="7"/>
  <c r="AG39" i="7" s="1"/>
  <c r="AH39" i="7"/>
  <c r="AI39" i="7"/>
  <c r="AK39" i="7" s="1"/>
  <c r="AL39" i="7"/>
  <c r="AN39" i="7" s="1"/>
  <c r="AO39" i="7"/>
  <c r="AR39" i="7"/>
  <c r="AS39" i="7" s="1"/>
  <c r="AU39" i="7"/>
  <c r="E40" i="7"/>
  <c r="F40" i="7" s="1"/>
  <c r="H40" i="7"/>
  <c r="K40" i="7"/>
  <c r="L40" i="7" s="1"/>
  <c r="N40" i="7"/>
  <c r="O40" i="7" s="1"/>
  <c r="P40" i="7"/>
  <c r="Q40" i="7"/>
  <c r="R40" i="7" s="1"/>
  <c r="T40" i="7"/>
  <c r="U40" i="7" s="1"/>
  <c r="W40" i="7"/>
  <c r="X40" i="7" s="1"/>
  <c r="Y40" i="7"/>
  <c r="Z40" i="7"/>
  <c r="AB40" i="7" s="1"/>
  <c r="AC40" i="7"/>
  <c r="AF40" i="7"/>
  <c r="AI40" i="7"/>
  <c r="AJ40" i="7" s="1"/>
  <c r="AL40" i="7"/>
  <c r="AM40" i="7" s="1"/>
  <c r="AO40" i="7"/>
  <c r="AR40" i="7"/>
  <c r="AS40" i="7" s="1"/>
  <c r="AU40" i="7"/>
  <c r="AW40" i="7" s="1"/>
  <c r="E42" i="7"/>
  <c r="H42" i="7"/>
  <c r="J42" i="7" s="1"/>
  <c r="K42" i="7"/>
  <c r="L42" i="7" s="1"/>
  <c r="N42" i="7"/>
  <c r="Q42" i="7"/>
  <c r="T42" i="7"/>
  <c r="U42" i="7" s="1"/>
  <c r="W42" i="7"/>
  <c r="X42" i="7" s="1"/>
  <c r="Z42" i="7"/>
  <c r="AB42" i="7" s="1"/>
  <c r="AC42" i="7"/>
  <c r="AF42" i="7"/>
  <c r="AH42" i="7" s="1"/>
  <c r="AI42" i="7"/>
  <c r="AK42" i="7" s="1"/>
  <c r="AL42" i="7"/>
  <c r="AO42" i="7"/>
  <c r="AP42" i="7" s="1"/>
  <c r="AQ42" i="7"/>
  <c r="AR42" i="7"/>
  <c r="AS42" i="7" s="1"/>
  <c r="AU42" i="7"/>
  <c r="AV42" i="7" s="1"/>
  <c r="E43" i="7"/>
  <c r="H43" i="7"/>
  <c r="I43" i="7" s="1"/>
  <c r="K43" i="7"/>
  <c r="N43" i="7"/>
  <c r="Q43" i="7"/>
  <c r="R43" i="7" s="1"/>
  <c r="T43" i="7"/>
  <c r="V43" i="7" s="1"/>
  <c r="W43" i="7"/>
  <c r="Z43" i="7"/>
  <c r="AB43" i="7" s="1"/>
  <c r="AC43" i="7"/>
  <c r="AF43" i="7"/>
  <c r="AG43" i="7" s="1"/>
  <c r="AI43" i="7"/>
  <c r="AJ43" i="7" s="1"/>
  <c r="AK43" i="7"/>
  <c r="AL43" i="7"/>
  <c r="AM43" i="7" s="1"/>
  <c r="AN43" i="7"/>
  <c r="AO43" i="7"/>
  <c r="AP43" i="7" s="1"/>
  <c r="AR43" i="7"/>
  <c r="AS43" i="7" s="1"/>
  <c r="AT43" i="7"/>
  <c r="AU43" i="7"/>
  <c r="AW43" i="7" s="1"/>
  <c r="E44" i="7"/>
  <c r="F44" i="7" s="1"/>
  <c r="H44" i="7"/>
  <c r="J44" i="7" s="1"/>
  <c r="K44" i="7"/>
  <c r="N44" i="7"/>
  <c r="P44" i="7" s="1"/>
  <c r="Q44" i="7"/>
  <c r="S44" i="7" s="1"/>
  <c r="T44" i="7"/>
  <c r="W44" i="7"/>
  <c r="Z44" i="7"/>
  <c r="AA44" i="7" s="1"/>
  <c r="AC44" i="7"/>
  <c r="AD44" i="7" s="1"/>
  <c r="AE44" i="7"/>
  <c r="AF44" i="7"/>
  <c r="AG44" i="7" s="1"/>
  <c r="AH44" i="7"/>
  <c r="AI44" i="7"/>
  <c r="AK44" i="7" s="1"/>
  <c r="AJ44" i="7"/>
  <c r="AL44" i="7"/>
  <c r="AN44" i="7" s="1"/>
  <c r="AM44" i="7"/>
  <c r="AO44" i="7"/>
  <c r="AQ44" i="7" s="1"/>
  <c r="AR44" i="7"/>
  <c r="AU44" i="7"/>
  <c r="AV44" i="7" s="1"/>
  <c r="E45" i="7"/>
  <c r="G45" i="7" s="1"/>
  <c r="H45" i="7"/>
  <c r="I45" i="7"/>
  <c r="K45" i="7"/>
  <c r="N45" i="7"/>
  <c r="O45" i="7" s="1"/>
  <c r="P45" i="7"/>
  <c r="Q45" i="7"/>
  <c r="R45" i="7" s="1"/>
  <c r="T45" i="7"/>
  <c r="U45" i="7" s="1"/>
  <c r="W45" i="7"/>
  <c r="Y45" i="7" s="1"/>
  <c r="Z45" i="7"/>
  <c r="AC45" i="7"/>
  <c r="AE45" i="7" s="1"/>
  <c r="AF45" i="7"/>
  <c r="AH45" i="7" s="1"/>
  <c r="AI45" i="7"/>
  <c r="AL45" i="7"/>
  <c r="AO45" i="7"/>
  <c r="AP45" i="7" s="1"/>
  <c r="AR45" i="7"/>
  <c r="AS45" i="7" s="1"/>
  <c r="AU45" i="7"/>
  <c r="AV45" i="7"/>
  <c r="AW45" i="7"/>
  <c r="E46" i="7"/>
  <c r="F46" i="7" s="1"/>
  <c r="H46" i="7"/>
  <c r="K46" i="7"/>
  <c r="L46" i="7" s="1"/>
  <c r="N46" i="7"/>
  <c r="O46" i="7" s="1"/>
  <c r="Q46" i="7"/>
  <c r="R46" i="7" s="1"/>
  <c r="S46" i="7"/>
  <c r="T46" i="7"/>
  <c r="V46" i="7" s="1"/>
  <c r="W46" i="7"/>
  <c r="Z46" i="7"/>
  <c r="AB46" i="7" s="1"/>
  <c r="AC46" i="7"/>
  <c r="AE46" i="7" s="1"/>
  <c r="AF46" i="7"/>
  <c r="AI46" i="7"/>
  <c r="AJ46" i="7" s="1"/>
  <c r="AL46" i="7"/>
  <c r="AN46" i="7" s="1"/>
  <c r="AM46" i="7"/>
  <c r="AO46" i="7"/>
  <c r="AR46" i="7"/>
  <c r="AS46" i="7" s="1"/>
  <c r="AU46" i="7"/>
  <c r="E47" i="7"/>
  <c r="G47" i="7" s="1"/>
  <c r="H47" i="7"/>
  <c r="K47" i="7"/>
  <c r="L47" i="7" s="1"/>
  <c r="N47" i="7"/>
  <c r="O47" i="7" s="1"/>
  <c r="Q47" i="7"/>
  <c r="T47" i="7"/>
  <c r="U47" i="7" s="1"/>
  <c r="W47" i="7"/>
  <c r="X47" i="7" s="1"/>
  <c r="Y47" i="7"/>
  <c r="Z47" i="7"/>
  <c r="AA47" i="7" s="1"/>
  <c r="AC47" i="7"/>
  <c r="AE47" i="7" s="1"/>
  <c r="AF47" i="7"/>
  <c r="AI47" i="7"/>
  <c r="AJ47" i="7" s="1"/>
  <c r="AL47" i="7"/>
  <c r="AM47" i="7" s="1"/>
  <c r="AO47" i="7"/>
  <c r="AR47" i="7"/>
  <c r="AS47" i="7" s="1"/>
  <c r="AU47" i="7"/>
  <c r="AV47" i="7" s="1"/>
  <c r="AW47" i="7"/>
  <c r="E48" i="7"/>
  <c r="F48" i="7" s="1"/>
  <c r="H48" i="7"/>
  <c r="I48" i="7" s="1"/>
  <c r="K48" i="7"/>
  <c r="L48" i="7" s="1"/>
  <c r="M48" i="7"/>
  <c r="N48" i="7"/>
  <c r="O48" i="7" s="1"/>
  <c r="Q48" i="7"/>
  <c r="R48" i="7" s="1"/>
  <c r="T48" i="7"/>
  <c r="V48" i="7" s="1"/>
  <c r="W48" i="7"/>
  <c r="Z48" i="7"/>
  <c r="AA48" i="7" s="1"/>
  <c r="AC48" i="7"/>
  <c r="AD48" i="7" s="1"/>
  <c r="AF48" i="7"/>
  <c r="AG48" i="7" s="1"/>
  <c r="AI48" i="7"/>
  <c r="AJ48" i="7" s="1"/>
  <c r="AK48" i="7"/>
  <c r="AL48" i="7"/>
  <c r="AM48" i="7" s="1"/>
  <c r="AO48" i="7"/>
  <c r="AP48" i="7" s="1"/>
  <c r="AR48" i="7"/>
  <c r="AT48" i="7" s="1"/>
  <c r="AU48" i="7"/>
  <c r="E49" i="7"/>
  <c r="H49" i="7"/>
  <c r="I49" i="7" s="1"/>
  <c r="K49" i="7"/>
  <c r="M49" i="7" s="1"/>
  <c r="L49" i="7"/>
  <c r="N49" i="7"/>
  <c r="Q49" i="7"/>
  <c r="R49" i="7" s="1"/>
  <c r="T49" i="7"/>
  <c r="W49" i="7"/>
  <c r="X49" i="7" s="1"/>
  <c r="Z49" i="7"/>
  <c r="AB49" i="7" s="1"/>
  <c r="AC49" i="7"/>
  <c r="AF49" i="7"/>
  <c r="AG49" i="7" s="1"/>
  <c r="AI49" i="7"/>
  <c r="AK49" i="7" s="1"/>
  <c r="AJ49" i="7"/>
  <c r="AL49" i="7"/>
  <c r="AO49" i="7"/>
  <c r="AP49" i="7" s="1"/>
  <c r="AR49" i="7"/>
  <c r="AU49" i="7"/>
  <c r="AV49" i="7" s="1"/>
  <c r="E51" i="7"/>
  <c r="G51" i="7" s="1"/>
  <c r="H51" i="7"/>
  <c r="K51" i="7"/>
  <c r="L51" i="7" s="1"/>
  <c r="N51" i="7"/>
  <c r="O51" i="7" s="1"/>
  <c r="Q51" i="7"/>
  <c r="S51" i="7" s="1"/>
  <c r="R51" i="7"/>
  <c r="T51" i="7"/>
  <c r="W51" i="7"/>
  <c r="X51" i="7" s="1"/>
  <c r="Z51" i="7"/>
  <c r="AA51" i="7" s="1"/>
  <c r="AC51" i="7"/>
  <c r="AE51" i="7" s="1"/>
  <c r="AF51" i="7"/>
  <c r="AH51" i="7" s="1"/>
  <c r="AG51" i="7"/>
  <c r="AI51" i="7"/>
  <c r="AJ51" i="7" s="1"/>
  <c r="AL51" i="7"/>
  <c r="AM51" i="7" s="1"/>
  <c r="AO51" i="7"/>
  <c r="AQ51" i="7" s="1"/>
  <c r="AP51" i="7"/>
  <c r="AR51" i="7"/>
  <c r="AU51" i="7"/>
  <c r="AV51" i="7" s="1"/>
  <c r="E52" i="7"/>
  <c r="F52" i="7" s="1"/>
  <c r="H52" i="7"/>
  <c r="J52" i="7" s="1"/>
  <c r="I52" i="7"/>
  <c r="K52" i="7"/>
  <c r="N52" i="7"/>
  <c r="O52" i="7" s="1"/>
  <c r="Q52" i="7"/>
  <c r="R52" i="7" s="1"/>
  <c r="T52" i="7"/>
  <c r="U52" i="7" s="1"/>
  <c r="W52" i="7"/>
  <c r="Y52" i="7" s="1"/>
  <c r="Z52" i="7"/>
  <c r="AB52" i="7" s="1"/>
  <c r="AC52" i="7"/>
  <c r="AD52" i="7" s="1"/>
  <c r="AF52" i="7"/>
  <c r="AH52" i="7" s="1"/>
  <c r="AG52" i="7"/>
  <c r="AI52" i="7"/>
  <c r="AL52" i="7"/>
  <c r="AM52" i="7" s="1"/>
  <c r="AO52" i="7"/>
  <c r="AP52" i="7" s="1"/>
  <c r="AQ52" i="7"/>
  <c r="AR52" i="7"/>
  <c r="AS52" i="7" s="1"/>
  <c r="AU52" i="7"/>
  <c r="AW52" i="7" s="1"/>
  <c r="E53" i="7"/>
  <c r="H53" i="7"/>
  <c r="I53" i="7" s="1"/>
  <c r="J53" i="7"/>
  <c r="K53" i="7"/>
  <c r="L53" i="7" s="1"/>
  <c r="N53" i="7"/>
  <c r="O53" i="7" s="1"/>
  <c r="P53" i="7"/>
  <c r="Q53" i="7"/>
  <c r="S53" i="7" s="1"/>
  <c r="T53" i="7"/>
  <c r="U53" i="7" s="1"/>
  <c r="W53" i="7"/>
  <c r="Y53" i="7" s="1"/>
  <c r="Z53" i="7"/>
  <c r="AC53" i="7"/>
  <c r="AD53" i="7" s="1"/>
  <c r="AF53" i="7"/>
  <c r="AG53" i="7" s="1"/>
  <c r="AH53" i="7"/>
  <c r="AI53" i="7"/>
  <c r="AJ53" i="7" s="1"/>
  <c r="AL53" i="7"/>
  <c r="AM53" i="7" s="1"/>
  <c r="AN53" i="7"/>
  <c r="AO53" i="7"/>
  <c r="AQ53" i="7" s="1"/>
  <c r="AP53" i="7"/>
  <c r="AR53" i="7"/>
  <c r="AS53" i="7" s="1"/>
  <c r="AU53" i="7"/>
  <c r="AW53" i="7" s="1"/>
  <c r="E54" i="7"/>
  <c r="F54" i="7" s="1"/>
  <c r="H54" i="7"/>
  <c r="I54" i="7" s="1"/>
  <c r="K54" i="7"/>
  <c r="N54" i="7"/>
  <c r="P54" i="7" s="1"/>
  <c r="O54" i="7"/>
  <c r="Q54" i="7"/>
  <c r="T54" i="7"/>
  <c r="U54" i="7" s="1"/>
  <c r="W54" i="7"/>
  <c r="X54" i="7" s="1"/>
  <c r="Z54" i="7"/>
  <c r="AB54" i="7" s="1"/>
  <c r="AC54" i="7"/>
  <c r="AD54" i="7" s="1"/>
  <c r="AF54" i="7"/>
  <c r="AG54" i="7" s="1"/>
  <c r="AI54" i="7"/>
  <c r="AJ54" i="7" s="1"/>
  <c r="AL54" i="7"/>
  <c r="AN54" i="7" s="1"/>
  <c r="AM54" i="7"/>
  <c r="AO54" i="7"/>
  <c r="AR54" i="7"/>
  <c r="AS54" i="7" s="1"/>
  <c r="AU54" i="7"/>
  <c r="AV54" i="7" s="1"/>
  <c r="E55" i="7"/>
  <c r="G55" i="7" s="1"/>
  <c r="H55" i="7"/>
  <c r="K55" i="7"/>
  <c r="L55" i="7" s="1"/>
  <c r="N55" i="7"/>
  <c r="O55" i="7" s="1"/>
  <c r="Q55" i="7"/>
  <c r="R55" i="7" s="1"/>
  <c r="T55" i="7"/>
  <c r="U55" i="7" s="1"/>
  <c r="V55" i="7"/>
  <c r="W55" i="7"/>
  <c r="Y55" i="7" s="1"/>
  <c r="X55" i="7"/>
  <c r="Z55" i="7"/>
  <c r="AA55" i="7" s="1"/>
  <c r="AC55" i="7"/>
  <c r="AE55" i="7" s="1"/>
  <c r="AF55" i="7"/>
  <c r="AI55" i="7"/>
  <c r="AJ55" i="7" s="1"/>
  <c r="AL55" i="7"/>
  <c r="AM55" i="7" s="1"/>
  <c r="AO55" i="7"/>
  <c r="AP55" i="7" s="1"/>
  <c r="AR55" i="7"/>
  <c r="AS55" i="7" s="1"/>
  <c r="AT55" i="7"/>
  <c r="AU55" i="7"/>
  <c r="AW55" i="7" s="1"/>
  <c r="E56" i="7"/>
  <c r="F56" i="7" s="1"/>
  <c r="G56" i="7"/>
  <c r="H56" i="7"/>
  <c r="I56" i="7" s="1"/>
  <c r="J56" i="7"/>
  <c r="K56" i="7"/>
  <c r="M56" i="7" s="1"/>
  <c r="N56" i="7"/>
  <c r="O56" i="7" s="1"/>
  <c r="Q56" i="7"/>
  <c r="R56" i="7" s="1"/>
  <c r="T56" i="7"/>
  <c r="V56" i="7" s="1"/>
  <c r="W56" i="7"/>
  <c r="Z56" i="7"/>
  <c r="AA56" i="7" s="1"/>
  <c r="AC56" i="7"/>
  <c r="AD56" i="7" s="1"/>
  <c r="AF56" i="7"/>
  <c r="AG56" i="7" s="1"/>
  <c r="AH56" i="7"/>
  <c r="AI56" i="7"/>
  <c r="AK56" i="7" s="1"/>
  <c r="AJ56" i="7"/>
  <c r="AL56" i="7"/>
  <c r="AM56" i="7" s="1"/>
  <c r="AO56" i="7"/>
  <c r="AP56" i="7" s="1"/>
  <c r="AR56" i="7"/>
  <c r="AT56" i="7" s="1"/>
  <c r="AS56" i="7"/>
  <c r="AU56" i="7"/>
  <c r="E57" i="7"/>
  <c r="F57" i="7" s="1"/>
  <c r="H57" i="7"/>
  <c r="J57" i="7" s="1"/>
  <c r="I57" i="7"/>
  <c r="K57" i="7"/>
  <c r="M57" i="7" s="1"/>
  <c r="N57" i="7"/>
  <c r="Q57" i="7"/>
  <c r="R57" i="7" s="1"/>
  <c r="T57" i="7"/>
  <c r="U57" i="7" s="1"/>
  <c r="W57" i="7"/>
  <c r="X57" i="7" s="1"/>
  <c r="Y57" i="7"/>
  <c r="Z57" i="7"/>
  <c r="AB57" i="7" s="1"/>
  <c r="AA57" i="7"/>
  <c r="AC57" i="7"/>
  <c r="AD57" i="7" s="1"/>
  <c r="AF57" i="7"/>
  <c r="AH57" i="7" s="1"/>
  <c r="AG57" i="7"/>
  <c r="AI57" i="7"/>
  <c r="AK57" i="7" s="1"/>
  <c r="AJ57" i="7"/>
  <c r="AL57" i="7"/>
  <c r="AO57" i="7"/>
  <c r="AP57" i="7" s="1"/>
  <c r="AR57" i="7"/>
  <c r="AS57" i="7" s="1"/>
  <c r="AU57" i="7"/>
  <c r="AV57" i="7"/>
  <c r="AW57" i="7"/>
  <c r="E58" i="7"/>
  <c r="H58" i="7"/>
  <c r="I58" i="7" s="1"/>
  <c r="K58" i="7"/>
  <c r="L58" i="7" s="1"/>
  <c r="N58" i="7"/>
  <c r="O58" i="7"/>
  <c r="P58" i="7"/>
  <c r="Q58" i="7"/>
  <c r="S58" i="7" s="1"/>
  <c r="R58" i="7"/>
  <c r="T58" i="7"/>
  <c r="U58" i="7" s="1"/>
  <c r="W58" i="7"/>
  <c r="Y58" i="7" s="1"/>
  <c r="X58" i="7"/>
  <c r="Z58" i="7"/>
  <c r="AB58" i="7" s="1"/>
  <c r="AA58" i="7"/>
  <c r="AC58" i="7"/>
  <c r="AF58" i="7"/>
  <c r="AG58" i="7" s="1"/>
  <c r="AI58" i="7"/>
  <c r="AJ58" i="7" s="1"/>
  <c r="AL58" i="7"/>
  <c r="AM58" i="7"/>
  <c r="AN58" i="7"/>
  <c r="AO58" i="7"/>
  <c r="AR58" i="7"/>
  <c r="AT58" i="7" s="1"/>
  <c r="AU58" i="7"/>
  <c r="AW58" i="7" s="1"/>
  <c r="AV58" i="7"/>
  <c r="E60" i="7"/>
  <c r="H60" i="7"/>
  <c r="J60" i="7" s="1"/>
  <c r="K60" i="7"/>
  <c r="N60" i="7"/>
  <c r="O60" i="7" s="1"/>
  <c r="Q60" i="7"/>
  <c r="R60" i="7" s="1"/>
  <c r="S60" i="7"/>
  <c r="T60" i="7"/>
  <c r="W60" i="7"/>
  <c r="X60" i="7" s="1"/>
  <c r="Y60" i="7"/>
  <c r="Z60" i="7"/>
  <c r="AA60" i="7"/>
  <c r="AB60" i="7"/>
  <c r="AC60" i="7"/>
  <c r="AF60" i="7"/>
  <c r="AH60" i="7" s="1"/>
  <c r="AI60" i="7"/>
  <c r="AL60" i="7"/>
  <c r="AM60" i="7" s="1"/>
  <c r="AO60" i="7"/>
  <c r="AP60" i="7" s="1"/>
  <c r="AR60" i="7"/>
  <c r="AU60" i="7"/>
  <c r="AV60" i="7"/>
  <c r="AW60" i="7"/>
  <c r="E61" i="7"/>
  <c r="F61" i="7" s="1"/>
  <c r="H61" i="7"/>
  <c r="I61" i="7" s="1"/>
  <c r="J61" i="7"/>
  <c r="K61" i="7"/>
  <c r="L61" i="7" s="1"/>
  <c r="N61" i="7"/>
  <c r="O61" i="7"/>
  <c r="P61" i="7"/>
  <c r="Q61" i="7"/>
  <c r="S61" i="7" s="1"/>
  <c r="T61" i="7"/>
  <c r="V61" i="7" s="1"/>
  <c r="W61" i="7"/>
  <c r="Y61" i="7" s="1"/>
  <c r="X61" i="7"/>
  <c r="Z61" i="7"/>
  <c r="AC61" i="7"/>
  <c r="AD61" i="7" s="1"/>
  <c r="AF61" i="7"/>
  <c r="AI61" i="7"/>
  <c r="AJ61" i="7" s="1"/>
  <c r="AK61" i="7"/>
  <c r="AL61" i="7"/>
  <c r="AN61" i="7" s="1"/>
  <c r="AM61" i="7"/>
  <c r="AO61" i="7"/>
  <c r="AR61" i="7"/>
  <c r="AT61" i="7" s="1"/>
  <c r="AS61" i="7"/>
  <c r="AU61" i="7"/>
  <c r="AW61" i="7" s="1"/>
  <c r="E62" i="7"/>
  <c r="H62" i="7"/>
  <c r="I62" i="7" s="1"/>
  <c r="J62" i="7"/>
  <c r="K62" i="7"/>
  <c r="L62" i="7"/>
  <c r="N62" i="7"/>
  <c r="P62" i="7" s="1"/>
  <c r="Q62" i="7"/>
  <c r="T62" i="7"/>
  <c r="U62" i="7" s="1"/>
  <c r="W62" i="7"/>
  <c r="X62" i="7" s="1"/>
  <c r="Y62" i="7"/>
  <c r="Z62" i="7"/>
  <c r="AA62" i="7"/>
  <c r="AB62" i="7"/>
  <c r="AC62" i="7"/>
  <c r="AD62" i="7" s="1"/>
  <c r="AE62" i="7"/>
  <c r="AF62" i="7"/>
  <c r="AG62" i="7" s="1"/>
  <c r="AI62" i="7"/>
  <c r="AK62" i="7" s="1"/>
  <c r="AJ62" i="7"/>
  <c r="AL62" i="7"/>
  <c r="AN62" i="7" s="1"/>
  <c r="AO62" i="7"/>
  <c r="AR62" i="7"/>
  <c r="AS62" i="7" s="1"/>
  <c r="AU62" i="7"/>
  <c r="AV62" i="7" s="1"/>
  <c r="AW62" i="7"/>
  <c r="E64" i="7"/>
  <c r="F64" i="7" s="1"/>
  <c r="G64" i="7"/>
  <c r="H64" i="7"/>
  <c r="I64" i="7" s="1"/>
  <c r="K64" i="7"/>
  <c r="L64" i="7" s="1"/>
  <c r="N64" i="7"/>
  <c r="O64" i="7" s="1"/>
  <c r="Q64" i="7"/>
  <c r="S64" i="7" s="1"/>
  <c r="T64" i="7"/>
  <c r="V64" i="7" s="1"/>
  <c r="U64" i="7"/>
  <c r="W64" i="7"/>
  <c r="Z64" i="7"/>
  <c r="AA64" i="7" s="1"/>
  <c r="AC64" i="7"/>
  <c r="AD64" i="7" s="1"/>
  <c r="AF64" i="7"/>
  <c r="AG64" i="7" s="1"/>
  <c r="AI64" i="7"/>
  <c r="AJ64" i="7" s="1"/>
  <c r="AL64" i="7"/>
  <c r="AM64" i="7" s="1"/>
  <c r="AO64" i="7"/>
  <c r="AQ64" i="7" s="1"/>
  <c r="AR64" i="7"/>
  <c r="AT64" i="7" s="1"/>
  <c r="AS64" i="7"/>
  <c r="AU64" i="7"/>
  <c r="E65" i="7"/>
  <c r="F65" i="7" s="1"/>
  <c r="H65" i="7"/>
  <c r="J65" i="7" s="1"/>
  <c r="K65" i="7"/>
  <c r="M65" i="7" s="1"/>
  <c r="L65" i="7"/>
  <c r="N65" i="7"/>
  <c r="Q65" i="7"/>
  <c r="R65" i="7" s="1"/>
  <c r="T65" i="7"/>
  <c r="U65" i="7" s="1"/>
  <c r="W65" i="7"/>
  <c r="X65" i="7" s="1"/>
  <c r="Z65" i="7"/>
  <c r="AA65" i="7" s="1"/>
  <c r="AC65" i="7"/>
  <c r="AD65" i="7" s="1"/>
  <c r="AE65" i="7"/>
  <c r="AF65" i="7"/>
  <c r="AH65" i="7" s="1"/>
  <c r="AG65" i="7"/>
  <c r="AI65" i="7"/>
  <c r="AK65" i="7" s="1"/>
  <c r="AL65" i="7"/>
  <c r="AO65" i="7"/>
  <c r="AP65" i="7" s="1"/>
  <c r="AR65" i="7"/>
  <c r="AS65" i="7" s="1"/>
  <c r="AT65" i="7"/>
  <c r="AU65" i="7"/>
  <c r="AV65" i="7"/>
  <c r="AW65" i="7"/>
  <c r="E66" i="7"/>
  <c r="H66" i="7"/>
  <c r="I66" i="7" s="1"/>
  <c r="K66" i="7"/>
  <c r="L66" i="7" s="1"/>
  <c r="N66" i="7"/>
  <c r="O66" i="7" s="1"/>
  <c r="Q66" i="7"/>
  <c r="R66" i="7" s="1"/>
  <c r="T66" i="7"/>
  <c r="U66" i="7" s="1"/>
  <c r="V66" i="7"/>
  <c r="W66" i="7"/>
  <c r="Y66" i="7" s="1"/>
  <c r="X66" i="7"/>
  <c r="Z66" i="7"/>
  <c r="AB66" i="7" s="1"/>
  <c r="AC66" i="7"/>
  <c r="AF66" i="7"/>
  <c r="AG66" i="7" s="1"/>
  <c r="AI66" i="7"/>
  <c r="AJ66" i="7" s="1"/>
  <c r="AK66" i="7"/>
  <c r="AL66" i="7"/>
  <c r="AM66" i="7"/>
  <c r="AN66" i="7"/>
  <c r="AO66" i="7"/>
  <c r="AP66" i="7"/>
  <c r="AQ66" i="7"/>
  <c r="AR66" i="7"/>
  <c r="AT66" i="7" s="1"/>
  <c r="AS66" i="7"/>
  <c r="AU66" i="7"/>
  <c r="AW66" i="7" s="1"/>
  <c r="AV66" i="7"/>
  <c r="E67" i="7"/>
  <c r="F67" i="7"/>
  <c r="G67" i="7"/>
  <c r="H67" i="7"/>
  <c r="J67" i="7" s="1"/>
  <c r="I67" i="7"/>
  <c r="K67" i="7"/>
  <c r="M67" i="7" s="1"/>
  <c r="L67" i="7"/>
  <c r="N67" i="7"/>
  <c r="P67" i="7" s="1"/>
  <c r="Q67" i="7"/>
  <c r="S67" i="7" s="1"/>
  <c r="R67" i="7"/>
  <c r="T67" i="7"/>
  <c r="W67" i="7"/>
  <c r="X67" i="7" s="1"/>
  <c r="Z67" i="7"/>
  <c r="AA67" i="7" s="1"/>
  <c r="AC67" i="7"/>
  <c r="AD67" i="7" s="1"/>
  <c r="AF67" i="7"/>
  <c r="AG67" i="7" s="1"/>
  <c r="AI67" i="7"/>
  <c r="AJ67" i="7" s="1"/>
  <c r="AL67" i="7"/>
  <c r="AN67" i="7" s="1"/>
  <c r="AO67" i="7"/>
  <c r="AQ67" i="7" s="1"/>
  <c r="AR67" i="7"/>
  <c r="AU67" i="7"/>
  <c r="AV67" i="7" s="1"/>
  <c r="E68" i="7"/>
  <c r="G68" i="7" s="1"/>
  <c r="F68" i="7"/>
  <c r="H68" i="7"/>
  <c r="J68" i="7" s="1"/>
  <c r="K68" i="7"/>
  <c r="N68" i="7"/>
  <c r="O68" i="7" s="1"/>
  <c r="Q68" i="7"/>
  <c r="R68" i="7" s="1"/>
  <c r="S68" i="7"/>
  <c r="T68" i="7"/>
  <c r="U68" i="7"/>
  <c r="V68" i="7"/>
  <c r="W68" i="7"/>
  <c r="Y68" i="7" s="1"/>
  <c r="X68" i="7"/>
  <c r="Z68" i="7"/>
  <c r="AB68" i="7" s="1"/>
  <c r="AA68" i="7"/>
  <c r="AC68" i="7"/>
  <c r="AE68" i="7" s="1"/>
  <c r="AF68" i="7"/>
  <c r="AH68" i="7" s="1"/>
  <c r="AG68" i="7"/>
  <c r="AI68" i="7"/>
  <c r="AL68" i="7"/>
  <c r="AM68" i="7" s="1"/>
  <c r="AO68" i="7"/>
  <c r="AP68" i="7" s="1"/>
  <c r="AR68" i="7"/>
  <c r="AS68" i="7" s="1"/>
  <c r="AU68" i="7"/>
  <c r="AV68" i="7" s="1"/>
  <c r="E69" i="7"/>
  <c r="F69" i="7" s="1"/>
  <c r="H69" i="7"/>
  <c r="I69" i="7" s="1"/>
  <c r="J69" i="7"/>
  <c r="K69" i="7"/>
  <c r="L69" i="7" s="1"/>
  <c r="M69" i="7"/>
  <c r="N69" i="7"/>
  <c r="O69" i="7"/>
  <c r="P69" i="7"/>
  <c r="Q69" i="7"/>
  <c r="R69" i="7"/>
  <c r="S69" i="7"/>
  <c r="T69" i="7"/>
  <c r="V69" i="7" s="1"/>
  <c r="U69" i="7"/>
  <c r="W69" i="7"/>
  <c r="Y69" i="7" s="1"/>
  <c r="X69" i="7"/>
  <c r="Z69" i="7"/>
  <c r="AC69" i="7"/>
  <c r="AD69" i="7" s="1"/>
  <c r="AF69" i="7"/>
  <c r="AG69" i="7" s="1"/>
  <c r="AI69" i="7"/>
  <c r="AK69" i="7" s="1"/>
  <c r="AJ69" i="7"/>
  <c r="AL69" i="7"/>
  <c r="AN69" i="7" s="1"/>
  <c r="AM69" i="7"/>
  <c r="AO69" i="7"/>
  <c r="AP69" i="7" s="1"/>
  <c r="AR69" i="7"/>
  <c r="AT69" i="7" s="1"/>
  <c r="AU69" i="7"/>
  <c r="AW69" i="7" s="1"/>
  <c r="AV69" i="7"/>
  <c r="E70" i="7"/>
  <c r="F70" i="7" s="1"/>
  <c r="H70" i="7"/>
  <c r="I70" i="7" s="1"/>
  <c r="K70" i="7"/>
  <c r="L70" i="7" s="1"/>
  <c r="N70" i="7"/>
  <c r="P70" i="7" s="1"/>
  <c r="Q70" i="7"/>
  <c r="T70" i="7"/>
  <c r="U70" i="7" s="1"/>
  <c r="W70" i="7"/>
  <c r="X70" i="7" s="1"/>
  <c r="Y70" i="7"/>
  <c r="Z70" i="7"/>
  <c r="AA70" i="7" s="1"/>
  <c r="AC70" i="7"/>
  <c r="AD70" i="7" s="1"/>
  <c r="AE70" i="7"/>
  <c r="AF70" i="7"/>
  <c r="AG70" i="7"/>
  <c r="AH70" i="7"/>
  <c r="AI70" i="7"/>
  <c r="AK70" i="7" s="1"/>
  <c r="AJ70" i="7"/>
  <c r="AL70" i="7"/>
  <c r="AN70" i="7" s="1"/>
  <c r="AO70" i="7"/>
  <c r="AR70" i="7"/>
  <c r="AS70" i="7" s="1"/>
  <c r="AU70" i="7"/>
  <c r="AV70" i="7" s="1"/>
  <c r="E71" i="7"/>
  <c r="G71" i="7" s="1"/>
  <c r="H71" i="7"/>
  <c r="K71" i="7"/>
  <c r="L71" i="7" s="1"/>
  <c r="N71" i="7"/>
  <c r="O71" i="7" s="1"/>
  <c r="P71" i="7"/>
  <c r="Q71" i="7"/>
  <c r="R71" i="7"/>
  <c r="S71" i="7"/>
  <c r="T71" i="7"/>
  <c r="U71" i="7"/>
  <c r="V71" i="7"/>
  <c r="W71" i="7"/>
  <c r="Y71" i="7" s="1"/>
  <c r="X71" i="7"/>
  <c r="Z71" i="7"/>
  <c r="AB71" i="7" s="1"/>
  <c r="AA71" i="7"/>
  <c r="AC71" i="7"/>
  <c r="AE71" i="7" s="1"/>
  <c r="AD71" i="7"/>
  <c r="AF71" i="7"/>
  <c r="AI71" i="7"/>
  <c r="AJ71" i="7" s="1"/>
  <c r="AL71" i="7"/>
  <c r="AM71" i="7" s="1"/>
  <c r="AO71" i="7"/>
  <c r="AQ71" i="7" s="1"/>
  <c r="AP71" i="7"/>
  <c r="AR71" i="7"/>
  <c r="AS71" i="7" s="1"/>
  <c r="AU71" i="7"/>
  <c r="AV71" i="7" s="1"/>
  <c r="E72" i="7"/>
  <c r="F72" i="7" s="1"/>
  <c r="H72" i="7"/>
  <c r="I72" i="7"/>
  <c r="J72" i="7"/>
  <c r="K72" i="7"/>
  <c r="M72" i="7" s="1"/>
  <c r="L72" i="7"/>
  <c r="N72" i="7"/>
  <c r="P72" i="7" s="1"/>
  <c r="O72" i="7"/>
  <c r="Q72" i="7"/>
  <c r="S72" i="7" s="1"/>
  <c r="T72" i="7"/>
  <c r="V72" i="7" s="1"/>
  <c r="W72" i="7"/>
  <c r="X72" i="7" s="1"/>
  <c r="Z72" i="7"/>
  <c r="AC72" i="7"/>
  <c r="AD72" i="7" s="1"/>
  <c r="AF72" i="7"/>
  <c r="AG72" i="7"/>
  <c r="AH72" i="7"/>
  <c r="AI72" i="7"/>
  <c r="AK72" i="7" s="1"/>
  <c r="AJ72" i="7"/>
  <c r="AL72" i="7"/>
  <c r="AN72" i="7" s="1"/>
  <c r="AM72" i="7"/>
  <c r="AO72" i="7"/>
  <c r="AQ72" i="7" s="1"/>
  <c r="AR72" i="7"/>
  <c r="AT72" i="7" s="1"/>
  <c r="AS72" i="7"/>
  <c r="AU72" i="7"/>
  <c r="AV72" i="7" s="1"/>
  <c r="AW72" i="7"/>
  <c r="E73" i="7"/>
  <c r="F73" i="7" s="1"/>
  <c r="H73" i="7"/>
  <c r="I73" i="7" s="1"/>
  <c r="K73" i="7"/>
  <c r="M73" i="7" s="1"/>
  <c r="L73" i="7"/>
  <c r="N73" i="7"/>
  <c r="O73" i="7" s="1"/>
  <c r="P73" i="7"/>
  <c r="Q73" i="7"/>
  <c r="T73" i="7"/>
  <c r="U73" i="7" s="1"/>
  <c r="V73" i="7"/>
  <c r="W73" i="7"/>
  <c r="X73" i="7"/>
  <c r="Y73" i="7"/>
  <c r="Z73" i="7"/>
  <c r="AA73" i="7"/>
  <c r="AB73" i="7"/>
  <c r="AC73" i="7"/>
  <c r="AD73" i="7"/>
  <c r="AE73" i="7"/>
  <c r="AF73" i="7"/>
  <c r="AH73" i="7" s="1"/>
  <c r="AI73" i="7"/>
  <c r="AK73" i="7" s="1"/>
  <c r="AL73" i="7"/>
  <c r="AM73" i="7" s="1"/>
  <c r="AO73" i="7"/>
  <c r="AR73" i="7"/>
  <c r="AS73" i="7" s="1"/>
  <c r="AT73" i="7"/>
  <c r="AU73" i="7"/>
  <c r="AV73" i="7"/>
  <c r="AW73" i="7"/>
  <c r="E74" i="7"/>
  <c r="G74" i="7"/>
  <c r="H74" i="7"/>
  <c r="K74" i="7"/>
  <c r="L74" i="7" s="1"/>
  <c r="N74" i="7"/>
  <c r="O74" i="7" s="1"/>
  <c r="Q74" i="7"/>
  <c r="S74" i="7" s="1"/>
  <c r="R74" i="7"/>
  <c r="T74" i="7"/>
  <c r="V74" i="7" s="1"/>
  <c r="U74" i="7"/>
  <c r="W74" i="7"/>
  <c r="Y74" i="7" s="1"/>
  <c r="Z74" i="7"/>
  <c r="AB74" i="7" s="1"/>
  <c r="AA74" i="7"/>
  <c r="AC74" i="7"/>
  <c r="AD74" i="7"/>
  <c r="AE74" i="7"/>
  <c r="AF74" i="7"/>
  <c r="AI74" i="7"/>
  <c r="AJ74" i="7" s="1"/>
  <c r="AL74" i="7"/>
  <c r="AN74" i="7" s="1"/>
  <c r="AM74" i="7"/>
  <c r="AO74" i="7"/>
  <c r="AP74" i="7"/>
  <c r="AQ74" i="7"/>
  <c r="AR74" i="7"/>
  <c r="AS74" i="7"/>
  <c r="AT74" i="7"/>
  <c r="AU74" i="7"/>
  <c r="AW74" i="7" s="1"/>
  <c r="E75" i="7"/>
  <c r="F75" i="7" s="1"/>
  <c r="H75" i="7"/>
  <c r="J75" i="7" s="1"/>
  <c r="I75" i="7"/>
  <c r="K75" i="7"/>
  <c r="L75" i="7" s="1"/>
  <c r="N75" i="7"/>
  <c r="P75" i="7" s="1"/>
  <c r="Q75" i="7"/>
  <c r="S75" i="7" s="1"/>
  <c r="R75" i="7"/>
  <c r="T75" i="7"/>
  <c r="U75" i="7"/>
  <c r="V75" i="7"/>
  <c r="W75" i="7"/>
  <c r="X75" i="7" s="1"/>
  <c r="Y75" i="7"/>
  <c r="Z75" i="7"/>
  <c r="AA75" i="7" s="1"/>
  <c r="AC75" i="7"/>
  <c r="AD75" i="7" s="1"/>
  <c r="AF75" i="7"/>
  <c r="AG75" i="7" s="1"/>
  <c r="AI75" i="7"/>
  <c r="AJ75" i="7"/>
  <c r="AK75" i="7"/>
  <c r="AL75" i="7"/>
  <c r="AM75" i="7"/>
  <c r="AN75" i="7"/>
  <c r="AO75" i="7"/>
  <c r="AP75" i="7" s="1"/>
  <c r="AQ75" i="7"/>
  <c r="AR75" i="7"/>
  <c r="AT75" i="7" s="1"/>
  <c r="AS75" i="7"/>
  <c r="AU75" i="7"/>
  <c r="AV75" i="7" s="1"/>
  <c r="E9" i="8"/>
  <c r="F9" i="8" s="1"/>
  <c r="H9" i="8"/>
  <c r="I9" i="8" s="1"/>
  <c r="K9" i="8"/>
  <c r="N9" i="8"/>
  <c r="O9" i="8" s="1"/>
  <c r="Q9" i="8"/>
  <c r="T9" i="8"/>
  <c r="W9" i="8"/>
  <c r="X9" i="8" s="1"/>
  <c r="Z9" i="8"/>
  <c r="AA9" i="8" s="1"/>
  <c r="AC9" i="8"/>
  <c r="AD9" i="8" s="1"/>
  <c r="AF9" i="8"/>
  <c r="AI9" i="8"/>
  <c r="AJ9" i="8" s="1"/>
  <c r="AL9" i="8"/>
  <c r="AM9" i="8" s="1"/>
  <c r="AO9" i="8"/>
  <c r="AP9" i="8"/>
  <c r="AR9" i="8"/>
  <c r="AU9" i="8"/>
  <c r="AV9" i="8" s="1"/>
  <c r="E10" i="8"/>
  <c r="H10" i="8"/>
  <c r="K10" i="8"/>
  <c r="N10" i="8"/>
  <c r="Q10" i="8"/>
  <c r="T10" i="8"/>
  <c r="W10" i="8"/>
  <c r="Z10" i="8"/>
  <c r="AC10" i="8"/>
  <c r="AF10" i="8"/>
  <c r="AG10" i="8" s="1"/>
  <c r="AI10" i="8"/>
  <c r="AL10" i="8"/>
  <c r="AO10" i="8"/>
  <c r="AR10" i="8"/>
  <c r="AU10" i="8"/>
  <c r="E11" i="8"/>
  <c r="H11" i="8"/>
  <c r="K11" i="8"/>
  <c r="N11" i="8"/>
  <c r="O11" i="8" s="1"/>
  <c r="Q11" i="8"/>
  <c r="R11" i="8" s="1"/>
  <c r="T11" i="8"/>
  <c r="U11" i="8" s="1"/>
  <c r="W11" i="8"/>
  <c r="Z11" i="8"/>
  <c r="AC11" i="8"/>
  <c r="AF11" i="8"/>
  <c r="AI11" i="8"/>
  <c r="AL11" i="8"/>
  <c r="AO11" i="8"/>
  <c r="AR11" i="8"/>
  <c r="AS11" i="8" s="1"/>
  <c r="AU11" i="8"/>
  <c r="AV11" i="8" s="1"/>
  <c r="E12" i="8"/>
  <c r="H12" i="8"/>
  <c r="K12" i="8"/>
  <c r="N12" i="8"/>
  <c r="Q12" i="8"/>
  <c r="T12" i="8"/>
  <c r="W12" i="8"/>
  <c r="Z12" i="8"/>
  <c r="AC12" i="8"/>
  <c r="AF12" i="8"/>
  <c r="AI12" i="8"/>
  <c r="AL12" i="8"/>
  <c r="AO12" i="8"/>
  <c r="AR12" i="8"/>
  <c r="AU12" i="8"/>
  <c r="E13" i="8"/>
  <c r="H13" i="8"/>
  <c r="K13" i="8"/>
  <c r="N13" i="8"/>
  <c r="Q13" i="8"/>
  <c r="T13" i="8"/>
  <c r="W13" i="8"/>
  <c r="Z13" i="8"/>
  <c r="AC13" i="8"/>
  <c r="AF13" i="8"/>
  <c r="AI13" i="8"/>
  <c r="AL13" i="8"/>
  <c r="AO13" i="8"/>
  <c r="AR13" i="8"/>
  <c r="AU13" i="8"/>
  <c r="E14" i="8"/>
  <c r="H14" i="8"/>
  <c r="K14" i="8"/>
  <c r="N14" i="8"/>
  <c r="Q14" i="8"/>
  <c r="R14" i="8" s="1"/>
  <c r="T14" i="8"/>
  <c r="W14" i="8"/>
  <c r="Z14" i="8"/>
  <c r="AC14" i="8"/>
  <c r="AD14" i="8" s="1"/>
  <c r="AF14" i="8"/>
  <c r="AI14" i="8"/>
  <c r="AL14" i="8"/>
  <c r="AO14" i="8"/>
  <c r="AP14" i="8" s="1"/>
  <c r="AR14" i="8"/>
  <c r="AU14" i="8"/>
  <c r="E16" i="8"/>
  <c r="H16" i="8"/>
  <c r="K16" i="8"/>
  <c r="N16" i="8"/>
  <c r="O16" i="8" s="1"/>
  <c r="Q16" i="8"/>
  <c r="R16" i="8" s="1"/>
  <c r="T16" i="8"/>
  <c r="W16" i="8"/>
  <c r="X16" i="8" s="1"/>
  <c r="Z16" i="8"/>
  <c r="AC16" i="8"/>
  <c r="AF16" i="8"/>
  <c r="AI16" i="8"/>
  <c r="AJ16" i="8" s="1"/>
  <c r="AL16" i="8"/>
  <c r="AO16" i="8"/>
  <c r="AP16" i="8" s="1"/>
  <c r="AR16" i="8"/>
  <c r="AS16" i="8" s="1"/>
  <c r="AU16" i="8"/>
  <c r="E17" i="8"/>
  <c r="H17" i="8"/>
  <c r="K17" i="8"/>
  <c r="M17" i="8"/>
  <c r="N17" i="8"/>
  <c r="Q17" i="8"/>
  <c r="T17" i="8"/>
  <c r="W17" i="8"/>
  <c r="Z17" i="8"/>
  <c r="AC17" i="8"/>
  <c r="AF17" i="8"/>
  <c r="AI17" i="8"/>
  <c r="AL17" i="8"/>
  <c r="AO17" i="8"/>
  <c r="AR17" i="8"/>
  <c r="AU17" i="8"/>
  <c r="E18" i="8"/>
  <c r="H18" i="8"/>
  <c r="I18" i="8" s="1"/>
  <c r="K18" i="8"/>
  <c r="N18" i="8"/>
  <c r="O18" i="8" s="1"/>
  <c r="Q18" i="8"/>
  <c r="R18" i="8" s="1"/>
  <c r="T18" i="8"/>
  <c r="U18" i="8" s="1"/>
  <c r="W18" i="8"/>
  <c r="X18" i="8" s="1"/>
  <c r="Z18" i="8"/>
  <c r="AA18" i="8" s="1"/>
  <c r="AC18" i="8"/>
  <c r="AF18" i="8"/>
  <c r="AG18" i="8" s="1"/>
  <c r="AI18" i="8"/>
  <c r="AL18" i="8"/>
  <c r="AM18" i="8" s="1"/>
  <c r="AO18" i="8"/>
  <c r="AP18" i="8" s="1"/>
  <c r="AR18" i="8"/>
  <c r="AS18" i="8" s="1"/>
  <c r="AU18" i="8"/>
  <c r="E19" i="8"/>
  <c r="H19" i="8"/>
  <c r="K19" i="8"/>
  <c r="N19" i="8"/>
  <c r="Q19" i="8"/>
  <c r="T19" i="8"/>
  <c r="V19" i="8" s="1"/>
  <c r="W19" i="8"/>
  <c r="Z19" i="8"/>
  <c r="AB19" i="8" s="1"/>
  <c r="AC19" i="8"/>
  <c r="AF19" i="8"/>
  <c r="AI19" i="8"/>
  <c r="AL19" i="8"/>
  <c r="AO19" i="8"/>
  <c r="AR19" i="8"/>
  <c r="AT19" i="8" s="1"/>
  <c r="AU19" i="8"/>
  <c r="E20" i="8"/>
  <c r="H20" i="8"/>
  <c r="K20" i="8"/>
  <c r="N20" i="8"/>
  <c r="Q20" i="8"/>
  <c r="T20" i="8"/>
  <c r="U20" i="8" s="1"/>
  <c r="W20" i="8"/>
  <c r="Z20" i="8"/>
  <c r="AC20" i="8"/>
  <c r="AF20" i="8"/>
  <c r="AI20" i="8"/>
  <c r="AL20" i="8"/>
  <c r="AO20" i="8"/>
  <c r="AR20" i="8"/>
  <c r="AS20" i="8" s="1"/>
  <c r="AU20" i="8"/>
  <c r="E21" i="8"/>
  <c r="H21" i="8"/>
  <c r="K21" i="8"/>
  <c r="N21" i="8"/>
  <c r="Q21" i="8"/>
  <c r="T21" i="8"/>
  <c r="W21" i="8"/>
  <c r="Z21" i="8"/>
  <c r="AC21" i="8"/>
  <c r="AF21" i="8"/>
  <c r="AI21" i="8"/>
  <c r="AL21" i="8"/>
  <c r="AO21" i="8"/>
  <c r="AR21" i="8"/>
  <c r="AU21" i="8"/>
  <c r="E22" i="8"/>
  <c r="H22" i="8"/>
  <c r="K22" i="8"/>
  <c r="N22" i="8"/>
  <c r="Q22" i="8"/>
  <c r="T22" i="8"/>
  <c r="W22" i="8"/>
  <c r="Z22" i="8"/>
  <c r="AC22" i="8"/>
  <c r="AF22" i="8"/>
  <c r="AI22" i="8"/>
  <c r="AL22" i="8"/>
  <c r="AO22" i="8"/>
  <c r="AR22" i="8"/>
  <c r="AU22" i="8"/>
  <c r="E23" i="8"/>
  <c r="H23" i="8"/>
  <c r="J23" i="8" s="1"/>
  <c r="K23" i="8"/>
  <c r="L23" i="8" s="1"/>
  <c r="N23" i="8"/>
  <c r="Q23" i="8"/>
  <c r="T23" i="8"/>
  <c r="W23" i="8"/>
  <c r="X23" i="8" s="1"/>
  <c r="Z23" i="8"/>
  <c r="AC23" i="8"/>
  <c r="AF23" i="8"/>
  <c r="AI23" i="8"/>
  <c r="AL23" i="8"/>
  <c r="AN23" i="8" s="1"/>
  <c r="AO23" i="8"/>
  <c r="AR23" i="8"/>
  <c r="AU23" i="8"/>
  <c r="E24" i="8"/>
  <c r="F24" i="8" s="1"/>
  <c r="H24" i="8"/>
  <c r="K24" i="8"/>
  <c r="L24" i="8" s="1"/>
  <c r="N24" i="8"/>
  <c r="Q24" i="8"/>
  <c r="T24" i="8"/>
  <c r="W24" i="8"/>
  <c r="Z24" i="8"/>
  <c r="AA24" i="8"/>
  <c r="AC24" i="8"/>
  <c r="AD24" i="8" s="1"/>
  <c r="AF24" i="8"/>
  <c r="AI24" i="8"/>
  <c r="AJ24" i="8" s="1"/>
  <c r="AL24" i="8"/>
  <c r="AM24" i="8" s="1"/>
  <c r="AO24" i="8"/>
  <c r="AR24" i="8"/>
  <c r="AU24" i="8"/>
  <c r="AW24" i="8" s="1"/>
  <c r="E25" i="8"/>
  <c r="H25" i="8"/>
  <c r="K25" i="8"/>
  <c r="N25" i="8"/>
  <c r="Q25" i="8"/>
  <c r="T25" i="8"/>
  <c r="W25" i="8"/>
  <c r="Z25" i="8"/>
  <c r="AC25" i="8"/>
  <c r="AF25" i="8"/>
  <c r="AI25" i="8"/>
  <c r="AL25" i="8"/>
  <c r="AO25" i="8"/>
  <c r="AR25" i="8"/>
  <c r="AU25" i="8"/>
  <c r="E26" i="8"/>
  <c r="H26" i="8"/>
  <c r="I26" i="8" s="1"/>
  <c r="K26" i="8"/>
  <c r="N26" i="8"/>
  <c r="Q26" i="8"/>
  <c r="T26" i="8"/>
  <c r="W26" i="8"/>
  <c r="Z26" i="8"/>
  <c r="AC26" i="8"/>
  <c r="AF26" i="8"/>
  <c r="AI26" i="8"/>
  <c r="AL26" i="8"/>
  <c r="AM26" i="8" s="1"/>
  <c r="AO26" i="8"/>
  <c r="AR26" i="8"/>
  <c r="AU26" i="8"/>
  <c r="E28" i="8"/>
  <c r="H28" i="8"/>
  <c r="K28" i="8"/>
  <c r="N28" i="8"/>
  <c r="Q28" i="8"/>
  <c r="T28" i="8"/>
  <c r="W28" i="8"/>
  <c r="Z28" i="8"/>
  <c r="AC28" i="8"/>
  <c r="AF28" i="8"/>
  <c r="AI28" i="8"/>
  <c r="AL28" i="8"/>
  <c r="AO28" i="8"/>
  <c r="AR28" i="8"/>
  <c r="AU28" i="8"/>
  <c r="E29" i="8"/>
  <c r="H29" i="8"/>
  <c r="K29" i="8"/>
  <c r="N29" i="8"/>
  <c r="O29" i="8"/>
  <c r="P29" i="8"/>
  <c r="Q29" i="8"/>
  <c r="R29" i="8" s="1"/>
  <c r="T29" i="8"/>
  <c r="V29" i="8" s="1"/>
  <c r="W29" i="8"/>
  <c r="X29" i="8" s="1"/>
  <c r="Z29" i="8"/>
  <c r="AC29" i="8"/>
  <c r="AF29" i="8"/>
  <c r="AI29" i="8"/>
  <c r="AL29" i="8"/>
  <c r="AM29" i="8" s="1"/>
  <c r="AO29" i="8"/>
  <c r="AP29" i="8"/>
  <c r="AR29" i="8"/>
  <c r="AT29" i="8" s="1"/>
  <c r="AU29" i="8"/>
  <c r="AV29" i="8" s="1"/>
  <c r="E30" i="8"/>
  <c r="H30" i="8"/>
  <c r="K30" i="8"/>
  <c r="N30" i="8"/>
  <c r="Q30" i="8"/>
  <c r="T30" i="8"/>
  <c r="W30" i="8"/>
  <c r="Z30" i="8"/>
  <c r="AC30" i="8"/>
  <c r="AF30" i="8"/>
  <c r="AI30" i="8"/>
  <c r="AL30" i="8"/>
  <c r="AO30" i="8"/>
  <c r="AR30" i="8"/>
  <c r="AU30" i="8"/>
  <c r="E32" i="8"/>
  <c r="H32" i="8"/>
  <c r="I32" i="8" s="1"/>
  <c r="K32" i="8"/>
  <c r="N32" i="8"/>
  <c r="P32" i="8"/>
  <c r="Q32" i="8"/>
  <c r="T32" i="8"/>
  <c r="W32" i="8"/>
  <c r="Z32" i="8"/>
  <c r="AC32" i="8"/>
  <c r="AD32" i="8" s="1"/>
  <c r="AF32" i="8"/>
  <c r="AI32" i="8"/>
  <c r="AL32" i="8"/>
  <c r="AO32" i="8"/>
  <c r="AR32" i="8"/>
  <c r="AU32" i="8"/>
  <c r="AV32" i="8" s="1"/>
  <c r="E33" i="8"/>
  <c r="H33" i="8"/>
  <c r="I33" i="8" s="1"/>
  <c r="K33" i="8"/>
  <c r="N33" i="8"/>
  <c r="Q33" i="8"/>
  <c r="T33" i="8"/>
  <c r="U33" i="8" s="1"/>
  <c r="W33" i="8"/>
  <c r="Z33" i="8"/>
  <c r="AC33" i="8"/>
  <c r="AF33" i="8"/>
  <c r="AI33" i="8"/>
  <c r="AL33" i="8"/>
  <c r="AO33" i="8"/>
  <c r="AR33" i="8"/>
  <c r="AS33" i="8" s="1"/>
  <c r="AU33" i="8"/>
  <c r="E34" i="8"/>
  <c r="H34" i="8"/>
  <c r="K34" i="8"/>
  <c r="N34" i="8"/>
  <c r="Q34" i="8"/>
  <c r="T34" i="8"/>
  <c r="W34" i="8"/>
  <c r="Z34" i="8"/>
  <c r="AC34" i="8"/>
  <c r="AF34" i="8"/>
  <c r="AI34" i="8"/>
  <c r="AL34" i="8"/>
  <c r="AO34" i="8"/>
  <c r="AR34" i="8"/>
  <c r="AU34" i="8"/>
  <c r="E35" i="8"/>
  <c r="F35" i="8" s="1"/>
  <c r="H35" i="8"/>
  <c r="I35" i="8" s="1"/>
  <c r="K35" i="8"/>
  <c r="L35" i="8" s="1"/>
  <c r="M35" i="8"/>
  <c r="N35" i="8"/>
  <c r="O35" i="8" s="1"/>
  <c r="Q35" i="8"/>
  <c r="R35" i="8" s="1"/>
  <c r="T35" i="8"/>
  <c r="U35" i="8" s="1"/>
  <c r="W35" i="8"/>
  <c r="Z35" i="8"/>
  <c r="AA35" i="8" s="1"/>
  <c r="AC35" i="8"/>
  <c r="AD35" i="8" s="1"/>
  <c r="AF35" i="8"/>
  <c r="AG35" i="8" s="1"/>
  <c r="AH35" i="8"/>
  <c r="AI35" i="8"/>
  <c r="AJ35" i="8" s="1"/>
  <c r="AL35" i="8"/>
  <c r="AN35" i="8" s="1"/>
  <c r="AO35" i="8"/>
  <c r="AP35" i="8" s="1"/>
  <c r="AR35" i="8"/>
  <c r="AS35" i="8" s="1"/>
  <c r="AU35" i="8"/>
  <c r="AV35" i="8" s="1"/>
  <c r="E36" i="8"/>
  <c r="H36" i="8"/>
  <c r="K36" i="8"/>
  <c r="N36" i="8"/>
  <c r="Q36" i="8"/>
  <c r="T36" i="8"/>
  <c r="W36" i="8"/>
  <c r="Z36" i="8"/>
  <c r="AB36" i="8"/>
  <c r="AC36" i="8"/>
  <c r="AF36" i="8"/>
  <c r="AI36" i="8"/>
  <c r="AL36" i="8"/>
  <c r="AO36" i="8"/>
  <c r="AR36" i="8"/>
  <c r="AU36" i="8"/>
  <c r="E37" i="8"/>
  <c r="H37" i="8"/>
  <c r="K37" i="8"/>
  <c r="N37" i="8"/>
  <c r="Q37" i="8"/>
  <c r="T37" i="8"/>
  <c r="W37" i="8"/>
  <c r="Z37" i="8"/>
  <c r="AA37" i="8" s="1"/>
  <c r="AC37" i="8"/>
  <c r="AF37" i="8"/>
  <c r="AI37" i="8"/>
  <c r="AL37" i="8"/>
  <c r="AO37" i="8"/>
  <c r="AR37" i="8"/>
  <c r="AU37" i="8"/>
  <c r="E39" i="8"/>
  <c r="H39" i="8"/>
  <c r="K39" i="8"/>
  <c r="N39" i="8"/>
  <c r="Q39" i="8"/>
  <c r="T39" i="8"/>
  <c r="U39" i="8" s="1"/>
  <c r="W39" i="8"/>
  <c r="Z39" i="8"/>
  <c r="AC39" i="8"/>
  <c r="AF39" i="8"/>
  <c r="AG39" i="8" s="1"/>
  <c r="AI39" i="8"/>
  <c r="AL39" i="8"/>
  <c r="AO39" i="8"/>
  <c r="AR39" i="8"/>
  <c r="AU39" i="8"/>
  <c r="E40" i="8"/>
  <c r="H40" i="8"/>
  <c r="K40" i="8"/>
  <c r="N40" i="8"/>
  <c r="Q40" i="8"/>
  <c r="T40" i="8"/>
  <c r="W40" i="8"/>
  <c r="Z40" i="8"/>
  <c r="AC40" i="8"/>
  <c r="AF40" i="8"/>
  <c r="AI40" i="8"/>
  <c r="AL40" i="8"/>
  <c r="AO40" i="8"/>
  <c r="AR40" i="8"/>
  <c r="AT40" i="8" s="1"/>
  <c r="AU40" i="8"/>
  <c r="E42" i="8"/>
  <c r="H42" i="8"/>
  <c r="K42" i="8"/>
  <c r="N42" i="8"/>
  <c r="Q42" i="8"/>
  <c r="T42" i="8"/>
  <c r="W42" i="8"/>
  <c r="Z42" i="8"/>
  <c r="AC42" i="8"/>
  <c r="AE42" i="8"/>
  <c r="AF42" i="8"/>
  <c r="AI42" i="8"/>
  <c r="AL42" i="8"/>
  <c r="AO42" i="8"/>
  <c r="AR42" i="8"/>
  <c r="AU42" i="8"/>
  <c r="E43" i="8"/>
  <c r="F43" i="8" s="1"/>
  <c r="H43" i="8"/>
  <c r="J43" i="8" s="1"/>
  <c r="K43" i="8"/>
  <c r="L43" i="8" s="1"/>
  <c r="N43" i="8"/>
  <c r="P43" i="8" s="1"/>
  <c r="Q43" i="8"/>
  <c r="S43" i="8" s="1"/>
  <c r="T43" i="8"/>
  <c r="U43" i="8" s="1"/>
  <c r="W43" i="8"/>
  <c r="X43" i="8" s="1"/>
  <c r="Y43" i="8"/>
  <c r="Z43" i="8"/>
  <c r="AA43" i="8" s="1"/>
  <c r="AC43" i="8"/>
  <c r="AF43" i="8"/>
  <c r="AG43" i="8" s="1"/>
  <c r="AI43" i="8"/>
  <c r="AL43" i="8"/>
  <c r="AM43" i="8" s="1"/>
  <c r="AO43" i="8"/>
  <c r="AQ43" i="8" s="1"/>
  <c r="AR43" i="8"/>
  <c r="AS43" i="8" s="1"/>
  <c r="AT43" i="8"/>
  <c r="AU43" i="8"/>
  <c r="AV43" i="8" s="1"/>
  <c r="E44" i="8"/>
  <c r="F44" i="8" s="1"/>
  <c r="H44" i="8"/>
  <c r="I44" i="8" s="1"/>
  <c r="K44" i="8"/>
  <c r="L44" i="8" s="1"/>
  <c r="N44" i="8"/>
  <c r="O44" i="8" s="1"/>
  <c r="Q44" i="8"/>
  <c r="T44" i="8"/>
  <c r="U44" i="8" s="1"/>
  <c r="W44" i="8"/>
  <c r="X44" i="8" s="1"/>
  <c r="Z44" i="8"/>
  <c r="AC44" i="8"/>
  <c r="AD44" i="8" s="1"/>
  <c r="AF44" i="8"/>
  <c r="AG44" i="8" s="1"/>
  <c r="AI44" i="8"/>
  <c r="AJ44" i="8" s="1"/>
  <c r="AL44" i="8"/>
  <c r="AM44" i="8" s="1"/>
  <c r="AO44" i="8"/>
  <c r="AR44" i="8"/>
  <c r="AS44" i="8" s="1"/>
  <c r="AU44" i="8"/>
  <c r="AV44" i="8" s="1"/>
  <c r="E45" i="8"/>
  <c r="H45" i="8"/>
  <c r="K45" i="8"/>
  <c r="L45" i="8" s="1"/>
  <c r="N45" i="8"/>
  <c r="O45" i="8" s="1"/>
  <c r="Q45" i="8"/>
  <c r="T45" i="8"/>
  <c r="U45" i="8" s="1"/>
  <c r="W45" i="8"/>
  <c r="Z45" i="8"/>
  <c r="AC45" i="8"/>
  <c r="AF45" i="8"/>
  <c r="AI45" i="8"/>
  <c r="AL45" i="8"/>
  <c r="AM45" i="8" s="1"/>
  <c r="AO45" i="8"/>
  <c r="AR45" i="8"/>
  <c r="AS45" i="8" s="1"/>
  <c r="AU45" i="8"/>
  <c r="AV45" i="8" s="1"/>
  <c r="E46" i="8"/>
  <c r="H46" i="8"/>
  <c r="K46" i="8"/>
  <c r="N46" i="8"/>
  <c r="Q46" i="8"/>
  <c r="R46" i="8" s="1"/>
  <c r="T46" i="8"/>
  <c r="W46" i="8"/>
  <c r="X46" i="8" s="1"/>
  <c r="Z46" i="8"/>
  <c r="AC46" i="8"/>
  <c r="AF46" i="8"/>
  <c r="AI46" i="8"/>
  <c r="AL46" i="8"/>
  <c r="AO46" i="8"/>
  <c r="AP46" i="8" s="1"/>
  <c r="AR46" i="8"/>
  <c r="AU46" i="8"/>
  <c r="AV46" i="8" s="1"/>
  <c r="E47" i="8"/>
  <c r="H47" i="8"/>
  <c r="K47" i="8"/>
  <c r="N47" i="8"/>
  <c r="Q47" i="8"/>
  <c r="T47" i="8"/>
  <c r="W47" i="8"/>
  <c r="Z47" i="8"/>
  <c r="AC47" i="8"/>
  <c r="AF47" i="8"/>
  <c r="AI47" i="8"/>
  <c r="AL47" i="8"/>
  <c r="AO47" i="8"/>
  <c r="AR47" i="8"/>
  <c r="AU47" i="8"/>
  <c r="E48" i="8"/>
  <c r="H48" i="8"/>
  <c r="K48" i="8"/>
  <c r="N48" i="8"/>
  <c r="Q48" i="8"/>
  <c r="S48" i="8" s="1"/>
  <c r="T48" i="8"/>
  <c r="U48" i="8" s="1"/>
  <c r="W48" i="8"/>
  <c r="Z48" i="8"/>
  <c r="AC48" i="8"/>
  <c r="AE48" i="8" s="1"/>
  <c r="AF48" i="8"/>
  <c r="AI48" i="8"/>
  <c r="AL48" i="8"/>
  <c r="AO48" i="8"/>
  <c r="AQ48" i="8"/>
  <c r="AR48" i="8"/>
  <c r="AU48" i="8"/>
  <c r="E49" i="8"/>
  <c r="H49" i="8"/>
  <c r="K49" i="8"/>
  <c r="N49" i="8"/>
  <c r="P49" i="8" s="1"/>
  <c r="Q49" i="8"/>
  <c r="T49" i="8"/>
  <c r="W49" i="8"/>
  <c r="Z49" i="8"/>
  <c r="AC49" i="8"/>
  <c r="AF49" i="8"/>
  <c r="AI49" i="8"/>
  <c r="AL49" i="8"/>
  <c r="AO49" i="8"/>
  <c r="AR49" i="8"/>
  <c r="AU49" i="8"/>
  <c r="E51" i="8"/>
  <c r="H51" i="8"/>
  <c r="K51" i="8"/>
  <c r="L51" i="8" s="1"/>
  <c r="N51" i="8"/>
  <c r="O51" i="8" s="1"/>
  <c r="Q51" i="8"/>
  <c r="R51" i="8" s="1"/>
  <c r="T51" i="8"/>
  <c r="W51" i="8"/>
  <c r="Z51" i="8"/>
  <c r="AA51" i="8" s="1"/>
  <c r="AC51" i="8"/>
  <c r="AF51" i="8"/>
  <c r="AI51" i="8"/>
  <c r="AJ51" i="8" s="1"/>
  <c r="AL51" i="8"/>
  <c r="AM51" i="8" s="1"/>
  <c r="AO51" i="8"/>
  <c r="AR51" i="8"/>
  <c r="AS51" i="8" s="1"/>
  <c r="AU51" i="8"/>
  <c r="E52" i="8"/>
  <c r="H52" i="8"/>
  <c r="K52" i="8"/>
  <c r="N52" i="8"/>
  <c r="Q52" i="8"/>
  <c r="R52" i="8" s="1"/>
  <c r="T52" i="8"/>
  <c r="U52" i="8" s="1"/>
  <c r="W52" i="8"/>
  <c r="Z52" i="8"/>
  <c r="AA52" i="8" s="1"/>
  <c r="AC52" i="8"/>
  <c r="AF52" i="8"/>
  <c r="AI52" i="8"/>
  <c r="AL52" i="8"/>
  <c r="AO52" i="8"/>
  <c r="AR52" i="8"/>
  <c r="AS52" i="8" s="1"/>
  <c r="AU52" i="8"/>
  <c r="E53" i="8"/>
  <c r="H53" i="8"/>
  <c r="K53" i="8"/>
  <c r="N53" i="8"/>
  <c r="Q53" i="8"/>
  <c r="T53" i="8"/>
  <c r="W53" i="8"/>
  <c r="Z53" i="8"/>
  <c r="AC53" i="8"/>
  <c r="AF53" i="8"/>
  <c r="AI53" i="8"/>
  <c r="AL53" i="8"/>
  <c r="AO53" i="8"/>
  <c r="AR53" i="8"/>
  <c r="AU53" i="8"/>
  <c r="E54" i="8"/>
  <c r="H54" i="8"/>
  <c r="K54" i="8"/>
  <c r="M54" i="8" s="1"/>
  <c r="N54" i="8"/>
  <c r="Q54" i="8"/>
  <c r="S54" i="8" s="1"/>
  <c r="T54" i="8"/>
  <c r="W54" i="8"/>
  <c r="Y54" i="8" s="1"/>
  <c r="Z54" i="8"/>
  <c r="AA54" i="8" s="1"/>
  <c r="AC54" i="8"/>
  <c r="AF54" i="8"/>
  <c r="AI54" i="8"/>
  <c r="AL54" i="8"/>
  <c r="AO54" i="8"/>
  <c r="AQ54" i="8" s="1"/>
  <c r="AR54" i="8"/>
  <c r="AT54" i="8" s="1"/>
  <c r="AU54" i="8"/>
  <c r="E55" i="8"/>
  <c r="H55" i="8"/>
  <c r="K55" i="8"/>
  <c r="N55" i="8"/>
  <c r="Q55" i="8"/>
  <c r="R55" i="8" s="1"/>
  <c r="T55" i="8"/>
  <c r="W55" i="8"/>
  <c r="Z55" i="8"/>
  <c r="AB55" i="8" s="1"/>
  <c r="AC55" i="8"/>
  <c r="AF55" i="8"/>
  <c r="AI55" i="8"/>
  <c r="AL55" i="8"/>
  <c r="AO55" i="8"/>
  <c r="AR55" i="8"/>
  <c r="AU55" i="8"/>
  <c r="E56" i="8"/>
  <c r="F56" i="8" s="1"/>
  <c r="H56" i="8"/>
  <c r="I56" i="8" s="1"/>
  <c r="K56" i="8"/>
  <c r="N56" i="8"/>
  <c r="Q56" i="8"/>
  <c r="T56" i="8"/>
  <c r="U56" i="8" s="1"/>
  <c r="W56" i="8"/>
  <c r="Z56" i="8"/>
  <c r="AC56" i="8"/>
  <c r="AD56" i="8" s="1"/>
  <c r="AE56" i="8"/>
  <c r="AF56" i="8"/>
  <c r="AG56" i="8" s="1"/>
  <c r="AI56" i="8"/>
  <c r="AL56" i="8"/>
  <c r="AN56" i="8" s="1"/>
  <c r="AO56" i="8"/>
  <c r="AR56" i="8"/>
  <c r="AU56" i="8"/>
  <c r="E57" i="8"/>
  <c r="H57" i="8"/>
  <c r="K57" i="8"/>
  <c r="N57" i="8"/>
  <c r="Q57" i="8"/>
  <c r="T57" i="8"/>
  <c r="W57" i="8"/>
  <c r="Z57" i="8"/>
  <c r="AC57" i="8"/>
  <c r="AF57" i="8"/>
  <c r="AI57" i="8"/>
  <c r="AL57" i="8"/>
  <c r="AO57" i="8"/>
  <c r="AR57" i="8"/>
  <c r="AU57" i="8"/>
  <c r="E58" i="8"/>
  <c r="H58" i="8"/>
  <c r="K58" i="8"/>
  <c r="N58" i="8"/>
  <c r="Q58" i="8"/>
  <c r="T58" i="8"/>
  <c r="U58" i="8" s="1"/>
  <c r="W58" i="8"/>
  <c r="Z58" i="8"/>
  <c r="AC58" i="8"/>
  <c r="AF58" i="8"/>
  <c r="AI58" i="8"/>
  <c r="AL58" i="8"/>
  <c r="AO58" i="8"/>
  <c r="AR58" i="8"/>
  <c r="AS58" i="8" s="1"/>
  <c r="AU58" i="8"/>
  <c r="AW58" i="8" s="1"/>
  <c r="E60" i="8"/>
  <c r="F60" i="8" s="1"/>
  <c r="H60" i="8"/>
  <c r="J60" i="8" s="1"/>
  <c r="K60" i="8"/>
  <c r="N60" i="8"/>
  <c r="O60" i="8" s="1"/>
  <c r="Q60" i="8"/>
  <c r="R60" i="8" s="1"/>
  <c r="T60" i="8"/>
  <c r="U60" i="8" s="1"/>
  <c r="W60" i="8"/>
  <c r="Y60" i="8" s="1"/>
  <c r="Z60" i="8"/>
  <c r="AA60" i="8" s="1"/>
  <c r="AC60" i="8"/>
  <c r="AD60" i="8" s="1"/>
  <c r="AF60" i="8"/>
  <c r="AH60" i="8" s="1"/>
  <c r="AI60" i="8"/>
  <c r="AK60" i="8" s="1"/>
  <c r="AL60" i="8"/>
  <c r="AM60" i="8" s="1"/>
  <c r="AO60" i="8"/>
  <c r="AP60" i="8" s="1"/>
  <c r="AR60" i="8"/>
  <c r="AS60" i="8" s="1"/>
  <c r="AU60" i="8"/>
  <c r="AV60" i="8" s="1"/>
  <c r="E61" i="8"/>
  <c r="H61" i="8"/>
  <c r="K61" i="8"/>
  <c r="M61" i="8"/>
  <c r="N61" i="8"/>
  <c r="P61" i="8" s="1"/>
  <c r="Q61" i="8"/>
  <c r="S61" i="8"/>
  <c r="T61" i="8"/>
  <c r="V61" i="8" s="1"/>
  <c r="W61" i="8"/>
  <c r="Y61" i="8" s="1"/>
  <c r="Z61" i="8"/>
  <c r="AB61" i="8" s="1"/>
  <c r="AC61" i="8"/>
  <c r="AF61" i="8"/>
  <c r="AI61" i="8"/>
  <c r="AL61" i="8"/>
  <c r="AO61" i="8"/>
  <c r="AQ61" i="8"/>
  <c r="AR61" i="8"/>
  <c r="AU61" i="8"/>
  <c r="AW61" i="8" s="1"/>
  <c r="E62" i="8"/>
  <c r="F62" i="8" s="1"/>
  <c r="H62" i="8"/>
  <c r="K62" i="8"/>
  <c r="N62" i="8"/>
  <c r="Q62" i="8"/>
  <c r="S62" i="8" s="1"/>
  <c r="T62" i="8"/>
  <c r="W62" i="8"/>
  <c r="Z62" i="8"/>
  <c r="AA62" i="8" s="1"/>
  <c r="AC62" i="8"/>
  <c r="AD62" i="8" s="1"/>
  <c r="AF62" i="8"/>
  <c r="AI62" i="8"/>
  <c r="AL62" i="8"/>
  <c r="AO62" i="8"/>
  <c r="AQ62" i="8" s="1"/>
  <c r="AR62" i="8"/>
  <c r="AU62" i="8"/>
  <c r="AV62" i="8" s="1"/>
  <c r="E64" i="8"/>
  <c r="H64" i="8"/>
  <c r="K64" i="8"/>
  <c r="N64" i="8"/>
  <c r="Q64" i="8"/>
  <c r="S64" i="8"/>
  <c r="T64" i="8"/>
  <c r="W64" i="8"/>
  <c r="Y64" i="8" s="1"/>
  <c r="Z64" i="8"/>
  <c r="AC64" i="8"/>
  <c r="AF64" i="8"/>
  <c r="AI64" i="8"/>
  <c r="AL64" i="8"/>
  <c r="AO64" i="8"/>
  <c r="AR64" i="8"/>
  <c r="AT64" i="8" s="1"/>
  <c r="AS64" i="8"/>
  <c r="AU64" i="8"/>
  <c r="E65" i="8"/>
  <c r="H65" i="8"/>
  <c r="K65" i="8"/>
  <c r="N65" i="8"/>
  <c r="Q65" i="8"/>
  <c r="T65" i="8"/>
  <c r="W65" i="8"/>
  <c r="Z65" i="8"/>
  <c r="AA65" i="8" s="1"/>
  <c r="AC65" i="8"/>
  <c r="AF65" i="8"/>
  <c r="AI65" i="8"/>
  <c r="AL65" i="8"/>
  <c r="AO65" i="8"/>
  <c r="AR65" i="8"/>
  <c r="AU65" i="8"/>
  <c r="E66" i="8"/>
  <c r="G66" i="8" s="1"/>
  <c r="H66" i="8"/>
  <c r="I66" i="8" s="1"/>
  <c r="K66" i="8"/>
  <c r="L66" i="8" s="1"/>
  <c r="N66" i="8"/>
  <c r="O66" i="8" s="1"/>
  <c r="P66" i="8"/>
  <c r="Q66" i="8"/>
  <c r="R66" i="8"/>
  <c r="T66" i="8"/>
  <c r="U66" i="8" s="1"/>
  <c r="W66" i="8"/>
  <c r="Z66" i="8"/>
  <c r="AB66" i="8" s="1"/>
  <c r="AC66" i="8"/>
  <c r="AE66" i="8" s="1"/>
  <c r="AF66" i="8"/>
  <c r="AG66" i="8" s="1"/>
  <c r="AI66" i="8"/>
  <c r="AJ66" i="8" s="1"/>
  <c r="AL66" i="8"/>
  <c r="AM66" i="8" s="1"/>
  <c r="AO66" i="8"/>
  <c r="AP66" i="8" s="1"/>
  <c r="AR66" i="8"/>
  <c r="AS66" i="8" s="1"/>
  <c r="AU66" i="8"/>
  <c r="AV66" i="8" s="1"/>
  <c r="E67" i="8"/>
  <c r="H67" i="8"/>
  <c r="K67" i="8"/>
  <c r="N67" i="8"/>
  <c r="O67" i="8"/>
  <c r="P67" i="8"/>
  <c r="Q67" i="8"/>
  <c r="T67" i="8"/>
  <c r="W67" i="8"/>
  <c r="Z67" i="8"/>
  <c r="AC67" i="8"/>
  <c r="AF67" i="8"/>
  <c r="AI67" i="8"/>
  <c r="AL67" i="8"/>
  <c r="AO67" i="8"/>
  <c r="AQ67" i="8" s="1"/>
  <c r="AR67" i="8"/>
  <c r="AU67" i="8"/>
  <c r="E68" i="8"/>
  <c r="H68" i="8"/>
  <c r="K68" i="8"/>
  <c r="N68" i="8"/>
  <c r="Q68" i="8"/>
  <c r="T68" i="8"/>
  <c r="W68" i="8"/>
  <c r="Z68" i="8"/>
  <c r="AA68" i="8" s="1"/>
  <c r="AC68" i="8"/>
  <c r="AF68" i="8"/>
  <c r="AI68" i="8"/>
  <c r="AL68" i="8"/>
  <c r="AO68" i="8"/>
  <c r="AR68" i="8"/>
  <c r="AU68" i="8"/>
  <c r="E69" i="8"/>
  <c r="H69" i="8"/>
  <c r="K69" i="8"/>
  <c r="M69" i="8"/>
  <c r="N69" i="8"/>
  <c r="P69" i="8" s="1"/>
  <c r="Q69" i="8"/>
  <c r="T69" i="8"/>
  <c r="V69" i="8"/>
  <c r="W69" i="8"/>
  <c r="Y69" i="8" s="1"/>
  <c r="Z69" i="8"/>
  <c r="AB69" i="8" s="1"/>
  <c r="AC69" i="8"/>
  <c r="AF69" i="8"/>
  <c r="AI69" i="8"/>
  <c r="AL69" i="8"/>
  <c r="AO69" i="8"/>
  <c r="AQ69" i="8"/>
  <c r="AR69" i="8"/>
  <c r="AT69" i="8"/>
  <c r="AU69" i="8"/>
  <c r="AW69" i="8" s="1"/>
  <c r="E70" i="8"/>
  <c r="F70" i="8" s="1"/>
  <c r="H70" i="8"/>
  <c r="I70" i="8" s="1"/>
  <c r="K70" i="8"/>
  <c r="L70" i="8" s="1"/>
  <c r="N70" i="8"/>
  <c r="Q70" i="8"/>
  <c r="S70" i="8" s="1"/>
  <c r="T70" i="8"/>
  <c r="U70" i="8" s="1"/>
  <c r="W70" i="8"/>
  <c r="X70" i="8" s="1"/>
  <c r="Z70" i="8"/>
  <c r="AA70" i="8" s="1"/>
  <c r="AC70" i="8"/>
  <c r="AD70" i="8" s="1"/>
  <c r="AF70" i="8"/>
  <c r="AI70" i="8"/>
  <c r="AJ70" i="8" s="1"/>
  <c r="AL70" i="8"/>
  <c r="AM70" i="8"/>
  <c r="AO70" i="8"/>
  <c r="AP70" i="8"/>
  <c r="AR70" i="8"/>
  <c r="AS70" i="8" s="1"/>
  <c r="AU70" i="8"/>
  <c r="AV70" i="8" s="1"/>
  <c r="E71" i="8"/>
  <c r="G71" i="8" s="1"/>
  <c r="H71" i="8"/>
  <c r="J71" i="8" s="1"/>
  <c r="K71" i="8"/>
  <c r="L71" i="8" s="1"/>
  <c r="N71" i="8"/>
  <c r="Q71" i="8"/>
  <c r="T71" i="8"/>
  <c r="V71" i="8"/>
  <c r="W71" i="8"/>
  <c r="Z71" i="8"/>
  <c r="AB71" i="8" s="1"/>
  <c r="AC71" i="8"/>
  <c r="AE71" i="8" s="1"/>
  <c r="AF71" i="8"/>
  <c r="AH71" i="8" s="1"/>
  <c r="AI71" i="8"/>
  <c r="AL71" i="8"/>
  <c r="AO71" i="8"/>
  <c r="AR71" i="8"/>
  <c r="AS71" i="8" s="1"/>
  <c r="AU71" i="8"/>
  <c r="AW71" i="8" s="1"/>
  <c r="E72" i="8"/>
  <c r="H72" i="8"/>
  <c r="K72" i="8"/>
  <c r="N72" i="8"/>
  <c r="Q72" i="8"/>
  <c r="T72" i="8"/>
  <c r="W72" i="8"/>
  <c r="Z72" i="8"/>
  <c r="AC72" i="8"/>
  <c r="AD72" i="8" s="1"/>
  <c r="AF72" i="8"/>
  <c r="AI72" i="8"/>
  <c r="AL72" i="8"/>
  <c r="AO72" i="8"/>
  <c r="AR72" i="8"/>
  <c r="AU72" i="8"/>
  <c r="E73" i="8"/>
  <c r="H73" i="8"/>
  <c r="K73" i="8"/>
  <c r="N73" i="8"/>
  <c r="Q73" i="8"/>
  <c r="T73" i="8"/>
  <c r="W73" i="8"/>
  <c r="X73" i="8" s="1"/>
  <c r="Z73" i="8"/>
  <c r="AC73" i="8"/>
  <c r="AF73" i="8"/>
  <c r="AI73" i="8"/>
  <c r="AL73" i="8"/>
  <c r="AO73" i="8"/>
  <c r="AR73" i="8"/>
  <c r="AU73" i="8"/>
  <c r="AW73" i="8"/>
  <c r="E74" i="8"/>
  <c r="H74" i="8"/>
  <c r="K74" i="8"/>
  <c r="N74" i="8"/>
  <c r="Q74" i="8"/>
  <c r="T74" i="8"/>
  <c r="W74" i="8"/>
  <c r="Z74" i="8"/>
  <c r="AC74" i="8"/>
  <c r="AE74" i="8" s="1"/>
  <c r="AF74" i="8"/>
  <c r="AI74" i="8"/>
  <c r="AL74" i="8"/>
  <c r="AO74" i="8"/>
  <c r="AR74" i="8"/>
  <c r="AU74" i="8"/>
  <c r="E75" i="8"/>
  <c r="F75" i="8" s="1"/>
  <c r="H75" i="8"/>
  <c r="K75" i="8"/>
  <c r="N75" i="8"/>
  <c r="O75" i="8"/>
  <c r="Q75" i="8"/>
  <c r="S75" i="8" s="1"/>
  <c r="T75" i="8"/>
  <c r="V75" i="8" s="1"/>
  <c r="W75" i="8"/>
  <c r="Z75" i="8"/>
  <c r="AA75" i="8" s="1"/>
  <c r="AC75" i="8"/>
  <c r="AF75" i="8"/>
  <c r="AI75" i="8"/>
  <c r="AK75" i="8"/>
  <c r="AL75" i="8"/>
  <c r="AO75" i="8"/>
  <c r="AQ75" i="8" s="1"/>
  <c r="AR75" i="8"/>
  <c r="AT75" i="8" s="1"/>
  <c r="AU75" i="8"/>
  <c r="E75" i="2"/>
  <c r="H75" i="2"/>
  <c r="I75" i="2" s="1"/>
  <c r="K75" i="2"/>
  <c r="N75" i="2"/>
  <c r="Q75" i="2"/>
  <c r="T75" i="2"/>
  <c r="U75" i="2" s="1"/>
  <c r="W75" i="2"/>
  <c r="Z75" i="2"/>
  <c r="AC75" i="2"/>
  <c r="AF75" i="2"/>
  <c r="AG75" i="2" s="1"/>
  <c r="AI75" i="2"/>
  <c r="AL75" i="2"/>
  <c r="E69" i="2"/>
  <c r="G69" i="2" s="1"/>
  <c r="H69" i="2"/>
  <c r="K69" i="2"/>
  <c r="M69" i="2" s="1"/>
  <c r="N69" i="2"/>
  <c r="Q69" i="2"/>
  <c r="T69" i="2"/>
  <c r="W69" i="2"/>
  <c r="Z69" i="2"/>
  <c r="AC69" i="2"/>
  <c r="AE69" i="2" s="1"/>
  <c r="AF69" i="2"/>
  <c r="AH69" i="2" s="1"/>
  <c r="AI69" i="2"/>
  <c r="AL69" i="2"/>
  <c r="AO69" i="2"/>
  <c r="AR69" i="2"/>
  <c r="AU69" i="2"/>
  <c r="E70" i="2"/>
  <c r="F70" i="2" s="1"/>
  <c r="H70" i="2"/>
  <c r="I70" i="2" s="1"/>
  <c r="K70" i="2"/>
  <c r="L70" i="2" s="1"/>
  <c r="N70" i="2"/>
  <c r="O70" i="2" s="1"/>
  <c r="Q70" i="2"/>
  <c r="R70" i="2" s="1"/>
  <c r="T70" i="2"/>
  <c r="U70" i="2" s="1"/>
  <c r="W70" i="2"/>
  <c r="X70" i="2" s="1"/>
  <c r="Z70" i="2"/>
  <c r="AA70" i="2" s="1"/>
  <c r="AC70" i="2"/>
  <c r="AD70" i="2" s="1"/>
  <c r="AF70" i="2"/>
  <c r="AG70" i="2" s="1"/>
  <c r="AI70" i="2"/>
  <c r="AK70" i="2" s="1"/>
  <c r="AL70" i="2"/>
  <c r="AO70" i="2"/>
  <c r="AP70" i="2" s="1"/>
  <c r="AR70" i="2"/>
  <c r="AS70" i="2" s="1"/>
  <c r="AU70" i="2"/>
  <c r="AV70" i="2" s="1"/>
  <c r="E71" i="2"/>
  <c r="H71" i="2"/>
  <c r="K71" i="2"/>
  <c r="N71" i="2"/>
  <c r="Q71" i="2"/>
  <c r="T71" i="2"/>
  <c r="W71" i="2"/>
  <c r="X71" i="2" s="1"/>
  <c r="Z71" i="2"/>
  <c r="AC71" i="2"/>
  <c r="AF71" i="2"/>
  <c r="AI71" i="2"/>
  <c r="AK71" i="2" s="1"/>
  <c r="AL71" i="2"/>
  <c r="AN71" i="2" s="1"/>
  <c r="AO71" i="2"/>
  <c r="AR71" i="2"/>
  <c r="AT71" i="2" s="1"/>
  <c r="AU71" i="2"/>
  <c r="E72" i="2"/>
  <c r="H72" i="2"/>
  <c r="K72" i="2"/>
  <c r="N72" i="2"/>
  <c r="Q72" i="2"/>
  <c r="T72" i="2"/>
  <c r="W72" i="2"/>
  <c r="Z72" i="2"/>
  <c r="AC72" i="2"/>
  <c r="AD72" i="2" s="1"/>
  <c r="AF72" i="2"/>
  <c r="AI72" i="2"/>
  <c r="AL72" i="2"/>
  <c r="AO72" i="2"/>
  <c r="AR72" i="2"/>
  <c r="AU72" i="2"/>
  <c r="E73" i="2"/>
  <c r="H73" i="2"/>
  <c r="K73" i="2"/>
  <c r="N73" i="2"/>
  <c r="O73" i="2" s="1"/>
  <c r="Q73" i="2"/>
  <c r="T73" i="2"/>
  <c r="W73" i="2"/>
  <c r="Z73" i="2"/>
  <c r="AC73" i="2"/>
  <c r="AF73" i="2"/>
  <c r="AI73" i="2"/>
  <c r="AL73" i="2"/>
  <c r="AO73" i="2"/>
  <c r="AR73" i="2"/>
  <c r="AS73" i="2" s="1"/>
  <c r="AU73" i="2"/>
  <c r="E74" i="2"/>
  <c r="H74" i="2"/>
  <c r="K74" i="2"/>
  <c r="N74" i="2"/>
  <c r="Q74" i="2"/>
  <c r="T74" i="2"/>
  <c r="V74" i="2" s="1"/>
  <c r="W74" i="2"/>
  <c r="Z74" i="2"/>
  <c r="AC74" i="2"/>
  <c r="AE74" i="2" s="1"/>
  <c r="AF74" i="2"/>
  <c r="AI74" i="2"/>
  <c r="AL74" i="2"/>
  <c r="AO74" i="2"/>
  <c r="AR74" i="2"/>
  <c r="AT74" i="2" s="1"/>
  <c r="AU74" i="2"/>
  <c r="AU34" i="2"/>
  <c r="AO35" i="2"/>
  <c r="AP35" i="2" s="1"/>
  <c r="AR35" i="2"/>
  <c r="AS35" i="2" s="1"/>
  <c r="AU35" i="2"/>
  <c r="AV35" i="2" s="1"/>
  <c r="AO36" i="2"/>
  <c r="AR36" i="2"/>
  <c r="AU36" i="2"/>
  <c r="AO39" i="2"/>
  <c r="AR39" i="2"/>
  <c r="AU39" i="2"/>
  <c r="AO40" i="2"/>
  <c r="AR40" i="2"/>
  <c r="AU40" i="2"/>
  <c r="AO42" i="2"/>
  <c r="AR42" i="2"/>
  <c r="AU42" i="2"/>
  <c r="AO43" i="2"/>
  <c r="AP43" i="2" s="1"/>
  <c r="AR43" i="2"/>
  <c r="AS43" i="2" s="1"/>
  <c r="AU43" i="2"/>
  <c r="AW43" i="2" s="1"/>
  <c r="AO44" i="2"/>
  <c r="AP44" i="2" s="1"/>
  <c r="AR44" i="2"/>
  <c r="AS44" i="2" s="1"/>
  <c r="AU44" i="2"/>
  <c r="AO45" i="2"/>
  <c r="AR45" i="2"/>
  <c r="AS45" i="2" s="1"/>
  <c r="AU45" i="2"/>
  <c r="AO47" i="2"/>
  <c r="AR47" i="2"/>
  <c r="AU47" i="2"/>
  <c r="AO48" i="2"/>
  <c r="AR48" i="2"/>
  <c r="AU48" i="2"/>
  <c r="AO49" i="2"/>
  <c r="AR49" i="2"/>
  <c r="AS49" i="2" s="1"/>
  <c r="AU49" i="2"/>
  <c r="AO51" i="2"/>
  <c r="AR51" i="2"/>
  <c r="AS51" i="2" s="1"/>
  <c r="AU51" i="2"/>
  <c r="AV51" i="2" s="1"/>
  <c r="AR52" i="2"/>
  <c r="AU52" i="2"/>
  <c r="AO53" i="2"/>
  <c r="AR53" i="2"/>
  <c r="AU53" i="2"/>
  <c r="AO54" i="2"/>
  <c r="AQ54" i="2" s="1"/>
  <c r="AR54" i="2"/>
  <c r="AU54" i="2"/>
  <c r="AU55" i="2"/>
  <c r="AW55" i="2" s="1"/>
  <c r="AO56" i="2"/>
  <c r="AQ56" i="2" s="1"/>
  <c r="AR56" i="2"/>
  <c r="AU56" i="2"/>
  <c r="AV56" i="2" s="1"/>
  <c r="AO57" i="2"/>
  <c r="AR57" i="2"/>
  <c r="AU57" i="2"/>
  <c r="AO58" i="2"/>
  <c r="AR58" i="2"/>
  <c r="AS58" i="2" s="1"/>
  <c r="AU58" i="2"/>
  <c r="AO60" i="2"/>
  <c r="AP60" i="2" s="1"/>
  <c r="AR60" i="2"/>
  <c r="AU60" i="2"/>
  <c r="AV60" i="2" s="1"/>
  <c r="AO61" i="2"/>
  <c r="AR61" i="2"/>
  <c r="AT61" i="2" s="1"/>
  <c r="AU61" i="2"/>
  <c r="AW61" i="2" s="1"/>
  <c r="AO62" i="2"/>
  <c r="AQ62" i="2" s="1"/>
  <c r="AR62" i="2"/>
  <c r="AS62" i="2" s="1"/>
  <c r="AU62" i="2"/>
  <c r="AO64" i="2"/>
  <c r="AR64" i="2"/>
  <c r="AU64" i="2"/>
  <c r="AO65" i="2"/>
  <c r="AR65" i="2"/>
  <c r="AU65" i="2"/>
  <c r="AO66" i="2"/>
  <c r="AR66" i="2"/>
  <c r="AS66" i="2" s="1"/>
  <c r="AU66" i="2"/>
  <c r="AV66" i="2" s="1"/>
  <c r="AO67" i="2"/>
  <c r="AR67" i="2"/>
  <c r="AU67" i="2"/>
  <c r="AO68" i="2"/>
  <c r="AR68" i="2"/>
  <c r="AU68" i="2"/>
  <c r="AO75" i="2"/>
  <c r="AP75" i="2" s="1"/>
  <c r="AR75" i="2"/>
  <c r="AU75" i="2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R75" i="5"/>
  <c r="R74" i="5"/>
  <c r="R73" i="5"/>
  <c r="R72" i="5"/>
  <c r="R71" i="5"/>
  <c r="R70" i="5"/>
  <c r="R69" i="5"/>
  <c r="R68" i="5"/>
  <c r="R67" i="5"/>
  <c r="R66" i="5"/>
  <c r="R65" i="5"/>
  <c r="R64" i="5"/>
  <c r="R62" i="5"/>
  <c r="R61" i="5"/>
  <c r="R60" i="5"/>
  <c r="R58" i="5"/>
  <c r="R57" i="5"/>
  <c r="R56" i="5"/>
  <c r="R55" i="5"/>
  <c r="R54" i="5"/>
  <c r="R53" i="5"/>
  <c r="R52" i="5"/>
  <c r="R51" i="5"/>
  <c r="R49" i="5"/>
  <c r="R48" i="5"/>
  <c r="R47" i="5"/>
  <c r="R46" i="5"/>
  <c r="R45" i="5"/>
  <c r="R44" i="5"/>
  <c r="R43" i="5"/>
  <c r="R42" i="5"/>
  <c r="R40" i="5"/>
  <c r="R39" i="5"/>
  <c r="R37" i="5"/>
  <c r="R36" i="5"/>
  <c r="R35" i="5"/>
  <c r="R34" i="5"/>
  <c r="R33" i="5"/>
  <c r="R32" i="5"/>
  <c r="R30" i="5"/>
  <c r="R29" i="5"/>
  <c r="R28" i="5"/>
  <c r="R26" i="5"/>
  <c r="R25" i="5"/>
  <c r="R24" i="5"/>
  <c r="R23" i="5"/>
  <c r="R22" i="5"/>
  <c r="R21" i="5"/>
  <c r="R20" i="5"/>
  <c r="R19" i="5"/>
  <c r="R18" i="5"/>
  <c r="R17" i="5"/>
  <c r="R16" i="5"/>
  <c r="R14" i="5"/>
  <c r="R13" i="5"/>
  <c r="R12" i="5"/>
  <c r="R11" i="5"/>
  <c r="R10" i="5"/>
  <c r="R9" i="5"/>
  <c r="R8" i="5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R75" i="6"/>
  <c r="R74" i="6"/>
  <c r="R73" i="6"/>
  <c r="R72" i="6"/>
  <c r="R71" i="6"/>
  <c r="R70" i="6"/>
  <c r="R69" i="6"/>
  <c r="R68" i="6"/>
  <c r="R67" i="6"/>
  <c r="R66" i="6"/>
  <c r="R65" i="6"/>
  <c r="R64" i="6"/>
  <c r="R62" i="6"/>
  <c r="R61" i="6"/>
  <c r="R60" i="6"/>
  <c r="R58" i="6"/>
  <c r="R57" i="6"/>
  <c r="R56" i="6"/>
  <c r="R55" i="6"/>
  <c r="R54" i="6"/>
  <c r="R53" i="6"/>
  <c r="R52" i="6"/>
  <c r="R51" i="6"/>
  <c r="R49" i="6"/>
  <c r="R48" i="6"/>
  <c r="R47" i="6"/>
  <c r="R46" i="6"/>
  <c r="R45" i="6"/>
  <c r="R44" i="6"/>
  <c r="R43" i="6"/>
  <c r="R42" i="6"/>
  <c r="R40" i="6"/>
  <c r="R39" i="6"/>
  <c r="R37" i="6"/>
  <c r="R36" i="6"/>
  <c r="R35" i="6"/>
  <c r="R34" i="6"/>
  <c r="R33" i="6"/>
  <c r="R32" i="6"/>
  <c r="R30" i="6"/>
  <c r="R29" i="6"/>
  <c r="R28" i="6"/>
  <c r="R26" i="6"/>
  <c r="R25" i="6"/>
  <c r="R24" i="6"/>
  <c r="R23" i="6"/>
  <c r="R22" i="6"/>
  <c r="R21" i="6"/>
  <c r="R20" i="6"/>
  <c r="R19" i="6"/>
  <c r="R18" i="6"/>
  <c r="R17" i="6"/>
  <c r="R16" i="6"/>
  <c r="R14" i="6"/>
  <c r="R13" i="6"/>
  <c r="R12" i="6"/>
  <c r="R11" i="6"/>
  <c r="R10" i="6"/>
  <c r="R9" i="6"/>
  <c r="R8" i="6"/>
  <c r="R49" i="9"/>
  <c r="R51" i="9"/>
  <c r="R52" i="9"/>
  <c r="R53" i="9"/>
  <c r="R54" i="9"/>
  <c r="R55" i="9"/>
  <c r="R56" i="9"/>
  <c r="R57" i="9"/>
  <c r="R58" i="9"/>
  <c r="R60" i="9"/>
  <c r="R61" i="9"/>
  <c r="R62" i="9"/>
  <c r="R64" i="9"/>
  <c r="R65" i="9"/>
  <c r="R66" i="9"/>
  <c r="R67" i="9"/>
  <c r="R68" i="9"/>
  <c r="R69" i="9"/>
  <c r="R70" i="9"/>
  <c r="R71" i="9"/>
  <c r="R72" i="9"/>
  <c r="R73" i="9"/>
  <c r="R74" i="9"/>
  <c r="R75" i="9"/>
  <c r="R30" i="9"/>
  <c r="R32" i="9"/>
  <c r="R33" i="9"/>
  <c r="R34" i="9"/>
  <c r="R35" i="9"/>
  <c r="R36" i="9"/>
  <c r="R37" i="9"/>
  <c r="R40" i="9"/>
  <c r="R42" i="9"/>
  <c r="R43" i="9"/>
  <c r="R44" i="9"/>
  <c r="R45" i="9"/>
  <c r="R46" i="9"/>
  <c r="R47" i="9"/>
  <c r="R48" i="9"/>
  <c r="E14" i="2"/>
  <c r="H14" i="2"/>
  <c r="K14" i="2"/>
  <c r="N14" i="2"/>
  <c r="Q14" i="2"/>
  <c r="T14" i="2"/>
  <c r="W14" i="2"/>
  <c r="Z14" i="2"/>
  <c r="AC14" i="2"/>
  <c r="AF14" i="2"/>
  <c r="AI14" i="2"/>
  <c r="AL14" i="2"/>
  <c r="AO14" i="2"/>
  <c r="AR14" i="2"/>
  <c r="AU14" i="2"/>
  <c r="R14" i="9"/>
  <c r="S75" i="2" l="1"/>
  <c r="AS22" i="8"/>
  <c r="O22" i="8"/>
  <c r="AJ61" i="8"/>
  <c r="AW64" i="8"/>
  <c r="V64" i="8"/>
  <c r="Y46" i="8"/>
  <c r="V40" i="8"/>
  <c r="L73" i="8"/>
  <c r="AN37" i="8"/>
  <c r="G51" i="8"/>
  <c r="AM48" i="8"/>
  <c r="AV28" i="8"/>
  <c r="S28" i="8"/>
  <c r="AG26" i="8"/>
  <c r="R13" i="8"/>
  <c r="AN73" i="8"/>
  <c r="L48" i="8"/>
  <c r="O28" i="8"/>
  <c r="F22" i="8"/>
  <c r="AS13" i="8"/>
  <c r="O13" i="8"/>
  <c r="AP57" i="2"/>
  <c r="AQ53" i="2"/>
  <c r="AS48" i="2"/>
  <c r="AV74" i="2"/>
  <c r="R74" i="2"/>
  <c r="AG73" i="2"/>
  <c r="R72" i="2"/>
  <c r="AS74" i="8"/>
  <c r="AK73" i="8"/>
  <c r="J73" i="8"/>
  <c r="AA72" i="8"/>
  <c r="AV68" i="8"/>
  <c r="R68" i="8"/>
  <c r="AK64" i="8"/>
  <c r="O64" i="8"/>
  <c r="AB53" i="8"/>
  <c r="AP52" i="8"/>
  <c r="AG48" i="8"/>
  <c r="F40" i="8"/>
  <c r="AM37" i="8"/>
  <c r="O37" i="8"/>
  <c r="AM34" i="8"/>
  <c r="M28" i="8"/>
  <c r="I20" i="8"/>
  <c r="AP13" i="8"/>
  <c r="L13" i="8"/>
  <c r="AP11" i="8"/>
  <c r="L11" i="8"/>
  <c r="AS54" i="2"/>
  <c r="AV13" i="8"/>
  <c r="AV68" i="2"/>
  <c r="AP61" i="2"/>
  <c r="AW52" i="2"/>
  <c r="AP48" i="2"/>
  <c r="O74" i="2"/>
  <c r="AD73" i="2"/>
  <c r="AS72" i="2"/>
  <c r="P72" i="2"/>
  <c r="AP74" i="8"/>
  <c r="O74" i="8"/>
  <c r="AG73" i="8"/>
  <c r="F73" i="8"/>
  <c r="AS68" i="8"/>
  <c r="O68" i="8"/>
  <c r="J67" i="8"/>
  <c r="AH58" i="8"/>
  <c r="I54" i="8"/>
  <c r="AG40" i="8"/>
  <c r="L37" i="8"/>
  <c r="AJ34" i="8"/>
  <c r="AM28" i="8"/>
  <c r="AT21" i="8"/>
  <c r="AG20" i="8"/>
  <c r="F20" i="8"/>
  <c r="X12" i="8"/>
  <c r="AM11" i="8"/>
  <c r="AK51" i="8"/>
  <c r="AM58" i="8"/>
  <c r="AV61" i="8"/>
  <c r="I40" i="8"/>
  <c r="AS68" i="2"/>
  <c r="AP65" i="2"/>
  <c r="AS52" i="2"/>
  <c r="AV47" i="2"/>
  <c r="AP74" i="2"/>
  <c r="L74" i="2"/>
  <c r="AB73" i="2"/>
  <c r="AP72" i="2"/>
  <c r="L72" i="2"/>
  <c r="AM74" i="8"/>
  <c r="L74" i="8"/>
  <c r="V72" i="8"/>
  <c r="AP68" i="8"/>
  <c r="AD58" i="8"/>
  <c r="AJ54" i="8"/>
  <c r="F46" i="8"/>
  <c r="AD40" i="8"/>
  <c r="I37" i="8"/>
  <c r="F28" i="8"/>
  <c r="AJ13" i="8"/>
  <c r="F13" i="8"/>
  <c r="F11" i="8"/>
  <c r="AS69" i="2"/>
  <c r="AG61" i="8"/>
  <c r="L61" i="8"/>
  <c r="R48" i="8"/>
  <c r="R74" i="8"/>
  <c r="AB47" i="8"/>
  <c r="AP68" i="2"/>
  <c r="AV64" i="2"/>
  <c r="AM74" i="2"/>
  <c r="I74" i="2"/>
  <c r="X73" i="2"/>
  <c r="AN72" i="2"/>
  <c r="I72" i="2"/>
  <c r="AJ74" i="8"/>
  <c r="I74" i="8"/>
  <c r="AE73" i="8"/>
  <c r="AS72" i="8"/>
  <c r="R72" i="8"/>
  <c r="F64" i="8"/>
  <c r="AP61" i="8"/>
  <c r="AA58" i="8"/>
  <c r="P57" i="8"/>
  <c r="AV53" i="8"/>
  <c r="AD46" i="8"/>
  <c r="AQ39" i="8"/>
  <c r="AG37" i="8"/>
  <c r="F37" i="8"/>
  <c r="AW30" i="8"/>
  <c r="U22" i="8"/>
  <c r="AD20" i="8"/>
  <c r="AG11" i="8"/>
  <c r="AD61" i="8"/>
  <c r="I61" i="8"/>
  <c r="P58" i="8"/>
  <c r="AP48" i="8"/>
  <c r="O40" i="8"/>
  <c r="U28" i="8"/>
  <c r="AM22" i="8"/>
  <c r="AP64" i="8"/>
  <c r="U68" i="8"/>
  <c r="AS28" i="8"/>
  <c r="AV67" i="2"/>
  <c r="AS64" i="2"/>
  <c r="AJ74" i="2"/>
  <c r="U73" i="2"/>
  <c r="AJ72" i="2"/>
  <c r="F72" i="2"/>
  <c r="U69" i="2"/>
  <c r="AG74" i="8"/>
  <c r="AA64" i="8"/>
  <c r="AM61" i="8"/>
  <c r="AV58" i="8"/>
  <c r="X58" i="8"/>
  <c r="AE52" i="8"/>
  <c r="AV48" i="8"/>
  <c r="AA46" i="8"/>
  <c r="X40" i="8"/>
  <c r="AV22" i="8"/>
  <c r="I21" i="8"/>
  <c r="AD13" i="8"/>
  <c r="AP51" i="2"/>
  <c r="AW45" i="2"/>
  <c r="P75" i="8"/>
  <c r="AG65" i="8"/>
  <c r="AN57" i="8"/>
  <c r="AS39" i="8"/>
  <c r="AK37" i="8"/>
  <c r="AQ29" i="8"/>
  <c r="U16" i="8"/>
  <c r="M55" i="2"/>
  <c r="AD37" i="2"/>
  <c r="AA37" i="2"/>
  <c r="AK55" i="2"/>
  <c r="AT52" i="8"/>
  <c r="U32" i="8"/>
  <c r="AH23" i="8"/>
  <c r="AM16" i="8"/>
  <c r="I16" i="8"/>
  <c r="AN11" i="8"/>
  <c r="AK75" i="2"/>
  <c r="AW57" i="8"/>
  <c r="AQ52" i="8"/>
  <c r="AJ43" i="8"/>
  <c r="P17" i="8"/>
  <c r="AG16" i="8"/>
  <c r="M9" i="8"/>
  <c r="O37" i="2"/>
  <c r="Y55" i="2"/>
  <c r="AM32" i="8"/>
  <c r="L32" i="8"/>
  <c r="AN22" i="8"/>
  <c r="AA16" i="8"/>
  <c r="AK20" i="8"/>
  <c r="AD34" i="2"/>
  <c r="AB34" i="2"/>
  <c r="R34" i="2"/>
  <c r="AP64" i="2"/>
  <c r="AV58" i="2"/>
  <c r="AV54" i="2"/>
  <c r="AG74" i="2"/>
  <c r="AV73" i="2"/>
  <c r="S73" i="2"/>
  <c r="AG72" i="2"/>
  <c r="AA73" i="8"/>
  <c r="O72" i="8"/>
  <c r="AS69" i="8"/>
  <c r="AM68" i="8"/>
  <c r="Y66" i="8"/>
  <c r="AW65" i="8"/>
  <c r="AN64" i="8"/>
  <c r="F61" i="8"/>
  <c r="AQ58" i="8"/>
  <c r="AJ57" i="8"/>
  <c r="F57" i="8"/>
  <c r="X56" i="8"/>
  <c r="AP53" i="8"/>
  <c r="AN52" i="8"/>
  <c r="P52" i="8"/>
  <c r="AJ48" i="8"/>
  <c r="O48" i="8"/>
  <c r="U46" i="8"/>
  <c r="AJ45" i="8"/>
  <c r="AA34" i="8"/>
  <c r="AK28" i="8"/>
  <c r="J28" i="8"/>
  <c r="X26" i="8"/>
  <c r="AJ22" i="8"/>
  <c r="I22" i="8"/>
  <c r="AH21" i="8"/>
  <c r="AV20" i="8"/>
  <c r="X20" i="8"/>
  <c r="O19" i="8"/>
  <c r="AV12" i="8"/>
  <c r="AJ11" i="8"/>
  <c r="I11" i="8"/>
  <c r="X10" i="8"/>
  <c r="S37" i="2"/>
  <c r="AH46" i="2"/>
  <c r="O34" i="2"/>
  <c r="AS34" i="2"/>
  <c r="AQ58" i="2"/>
  <c r="AW40" i="2"/>
  <c r="AA74" i="2"/>
  <c r="AQ73" i="2"/>
  <c r="L73" i="2"/>
  <c r="AA72" i="2"/>
  <c r="L71" i="2"/>
  <c r="AV73" i="8"/>
  <c r="U73" i="8"/>
  <c r="AM72" i="8"/>
  <c r="M72" i="8"/>
  <c r="AH68" i="8"/>
  <c r="F68" i="8"/>
  <c r="X67" i="8"/>
  <c r="S66" i="8"/>
  <c r="AS65" i="8"/>
  <c r="AJ64" i="8"/>
  <c r="AN58" i="8"/>
  <c r="L58" i="8"/>
  <c r="R56" i="8"/>
  <c r="AV54" i="8"/>
  <c r="L53" i="8"/>
  <c r="I52" i="8"/>
  <c r="I48" i="8"/>
  <c r="AM46" i="8"/>
  <c r="O46" i="8"/>
  <c r="AD45" i="8"/>
  <c r="AB42" i="8"/>
  <c r="AQ40" i="8"/>
  <c r="AP36" i="8"/>
  <c r="AP30" i="8"/>
  <c r="AJ29" i="8"/>
  <c r="AV26" i="8"/>
  <c r="U24" i="8"/>
  <c r="AD22" i="8"/>
  <c r="AP20" i="8"/>
  <c r="L17" i="8"/>
  <c r="AA13" i="8"/>
  <c r="L12" i="8"/>
  <c r="AD11" i="8"/>
  <c r="AV37" i="2"/>
  <c r="AB46" i="2"/>
  <c r="AQ34" i="2"/>
  <c r="AP72" i="8"/>
  <c r="M52" i="8"/>
  <c r="AW57" i="2"/>
  <c r="AW53" i="2"/>
  <c r="AS40" i="2"/>
  <c r="X74" i="2"/>
  <c r="AM73" i="2"/>
  <c r="I73" i="2"/>
  <c r="I69" i="2"/>
  <c r="AS73" i="8"/>
  <c r="R73" i="8"/>
  <c r="AJ72" i="8"/>
  <c r="I72" i="8"/>
  <c r="AM69" i="8"/>
  <c r="V67" i="8"/>
  <c r="AG64" i="8"/>
  <c r="L64" i="8"/>
  <c r="AS61" i="8"/>
  <c r="AJ58" i="8"/>
  <c r="J58" i="8"/>
  <c r="AP56" i="8"/>
  <c r="O56" i="8"/>
  <c r="O54" i="8"/>
  <c r="G52" i="8"/>
  <c r="F48" i="8"/>
  <c r="L46" i="8"/>
  <c r="AA45" i="8"/>
  <c r="AW42" i="8"/>
  <c r="Y42" i="8"/>
  <c r="AM40" i="8"/>
  <c r="AT37" i="8"/>
  <c r="V37" i="8"/>
  <c r="R34" i="8"/>
  <c r="AH33" i="8"/>
  <c r="AG29" i="8"/>
  <c r="L29" i="8"/>
  <c r="AE28" i="8"/>
  <c r="O26" i="8"/>
  <c r="AS24" i="8"/>
  <c r="R24" i="8"/>
  <c r="AV21" i="8"/>
  <c r="AG19" i="8"/>
  <c r="X13" i="8"/>
  <c r="AS10" i="8"/>
  <c r="AS37" i="2"/>
  <c r="Y46" i="2"/>
  <c r="F34" i="2"/>
  <c r="AQ66" i="2"/>
  <c r="AS57" i="2"/>
  <c r="AS53" i="2"/>
  <c r="AW48" i="2"/>
  <c r="AP40" i="2"/>
  <c r="AV34" i="2"/>
  <c r="AJ73" i="2"/>
  <c r="F73" i="2"/>
  <c r="U72" i="2"/>
  <c r="AV74" i="8"/>
  <c r="U74" i="8"/>
  <c r="AP73" i="8"/>
  <c r="P73" i="8"/>
  <c r="AG72" i="8"/>
  <c r="F72" i="8"/>
  <c r="AT67" i="8"/>
  <c r="S67" i="8"/>
  <c r="AN65" i="8"/>
  <c r="AD64" i="8"/>
  <c r="I64" i="8"/>
  <c r="R61" i="8"/>
  <c r="M60" i="8"/>
  <c r="G58" i="8"/>
  <c r="F53" i="8"/>
  <c r="AG52" i="8"/>
  <c r="AJ46" i="8"/>
  <c r="X45" i="8"/>
  <c r="U42" i="8"/>
  <c r="AJ40" i="8"/>
  <c r="AP37" i="8"/>
  <c r="R37" i="8"/>
  <c r="AS34" i="8"/>
  <c r="O34" i="8"/>
  <c r="I29" i="8"/>
  <c r="AB28" i="8"/>
  <c r="AP26" i="8"/>
  <c r="AP24" i="8"/>
  <c r="X22" i="8"/>
  <c r="U21" i="8"/>
  <c r="AM20" i="8"/>
  <c r="O20" i="8"/>
  <c r="AG17" i="8"/>
  <c r="U13" i="8"/>
  <c r="AJ12" i="8"/>
  <c r="AQ37" i="2"/>
  <c r="F37" i="2"/>
  <c r="V46" i="2"/>
  <c r="I67" i="8"/>
  <c r="I71" i="8"/>
  <c r="I53" i="8"/>
  <c r="J53" i="8"/>
  <c r="AM55" i="8"/>
  <c r="AS55" i="2"/>
  <c r="AG55" i="2"/>
  <c r="U55" i="2"/>
  <c r="I55" i="2"/>
  <c r="I25" i="8"/>
  <c r="AP25" i="8"/>
  <c r="P25" i="8"/>
  <c r="AQ25" i="8"/>
  <c r="X37" i="2"/>
  <c r="L37" i="2"/>
  <c r="AM37" i="2"/>
  <c r="U37" i="2"/>
  <c r="I37" i="2"/>
  <c r="AB39" i="8"/>
  <c r="AS39" i="2"/>
  <c r="AA49" i="8"/>
  <c r="X47" i="8"/>
  <c r="AS47" i="8"/>
  <c r="AG47" i="8"/>
  <c r="AM71" i="2"/>
  <c r="AD75" i="2"/>
  <c r="F75" i="2"/>
  <c r="AP75" i="8"/>
  <c r="AJ75" i="8"/>
  <c r="X75" i="8"/>
  <c r="AV75" i="2"/>
  <c r="AM75" i="2"/>
  <c r="AA75" i="2"/>
  <c r="O75" i="2"/>
  <c r="AV75" i="8"/>
  <c r="AG75" i="8"/>
  <c r="L75" i="8"/>
  <c r="AS75" i="2"/>
  <c r="X75" i="2"/>
  <c r="L75" i="2"/>
  <c r="AM75" i="8"/>
  <c r="AD75" i="8"/>
  <c r="I75" i="8"/>
  <c r="AP71" i="2"/>
  <c r="AG71" i="2"/>
  <c r="U71" i="2"/>
  <c r="I71" i="2"/>
  <c r="AP71" i="8"/>
  <c r="U71" i="8"/>
  <c r="AD71" i="2"/>
  <c r="R71" i="2"/>
  <c r="F71" i="2"/>
  <c r="AM71" i="8"/>
  <c r="R71" i="8"/>
  <c r="AV71" i="2"/>
  <c r="AA71" i="2"/>
  <c r="O71" i="2"/>
  <c r="AJ71" i="8"/>
  <c r="X71" i="8"/>
  <c r="O71" i="8"/>
  <c r="AP69" i="2"/>
  <c r="R69" i="2"/>
  <c r="AJ69" i="8"/>
  <c r="R69" i="8"/>
  <c r="L69" i="8"/>
  <c r="AM69" i="2"/>
  <c r="AA69" i="2"/>
  <c r="O69" i="2"/>
  <c r="AP69" i="8"/>
  <c r="AG69" i="8"/>
  <c r="O69" i="8"/>
  <c r="I69" i="8"/>
  <c r="AV69" i="2"/>
  <c r="AJ69" i="2"/>
  <c r="X69" i="2"/>
  <c r="AD69" i="8"/>
  <c r="F69" i="8"/>
  <c r="AS67" i="2"/>
  <c r="AV67" i="8"/>
  <c r="AM67" i="8"/>
  <c r="AG67" i="8"/>
  <c r="F67" i="8"/>
  <c r="AP67" i="2"/>
  <c r="AS67" i="8"/>
  <c r="AD67" i="8"/>
  <c r="L67" i="8"/>
  <c r="AJ67" i="8"/>
  <c r="AA67" i="8"/>
  <c r="AW65" i="2"/>
  <c r="AK65" i="8"/>
  <c r="P65" i="8"/>
  <c r="J65" i="8"/>
  <c r="AW56" i="8"/>
  <c r="AB56" i="8"/>
  <c r="AV55" i="8"/>
  <c r="AP55" i="2"/>
  <c r="AD55" i="2"/>
  <c r="F55" i="2"/>
  <c r="AM55" i="2"/>
  <c r="AA55" i="2"/>
  <c r="O55" i="2"/>
  <c r="R55" i="2"/>
  <c r="Y51" i="8"/>
  <c r="AV49" i="8"/>
  <c r="AJ49" i="8"/>
  <c r="X49" i="8"/>
  <c r="L49" i="8"/>
  <c r="I49" i="8"/>
  <c r="AS47" i="2"/>
  <c r="AP47" i="8"/>
  <c r="AD47" i="8"/>
  <c r="U47" i="8"/>
  <c r="I47" i="8"/>
  <c r="AP47" i="2"/>
  <c r="R47" i="8"/>
  <c r="F47" i="8"/>
  <c r="AV47" i="8"/>
  <c r="AW44" i="2"/>
  <c r="AG37" i="2"/>
  <c r="AJ37" i="2"/>
  <c r="AS36" i="2"/>
  <c r="AM36" i="8"/>
  <c r="R36" i="8"/>
  <c r="F36" i="8"/>
  <c r="AP36" i="2"/>
  <c r="AJ36" i="8"/>
  <c r="AA36" i="8"/>
  <c r="O36" i="8"/>
  <c r="AS36" i="8"/>
  <c r="X36" i="8"/>
  <c r="L36" i="8"/>
  <c r="AK34" i="2"/>
  <c r="Y34" i="2"/>
  <c r="M34" i="2"/>
  <c r="AW34" i="8"/>
  <c r="Y34" i="8"/>
  <c r="AM34" i="2"/>
  <c r="AG34" i="2"/>
  <c r="U34" i="2"/>
  <c r="I34" i="2"/>
  <c r="AQ32" i="8"/>
  <c r="S32" i="8"/>
  <c r="AM30" i="8"/>
  <c r="R30" i="8"/>
  <c r="AV30" i="8"/>
  <c r="AA30" i="8"/>
  <c r="O30" i="8"/>
  <c r="AG30" i="8"/>
  <c r="X30" i="8"/>
  <c r="L30" i="8"/>
  <c r="M26" i="8"/>
  <c r="AD25" i="8"/>
  <c r="R25" i="8"/>
  <c r="AS25" i="8"/>
  <c r="AJ25" i="8"/>
  <c r="AA25" i="8"/>
  <c r="AG25" i="8"/>
  <c r="AM23" i="8"/>
  <c r="AD23" i="8"/>
  <c r="AV23" i="8"/>
  <c r="U23" i="8"/>
  <c r="AS23" i="8"/>
  <c r="AJ23" i="8"/>
  <c r="F23" i="8"/>
  <c r="O23" i="8"/>
  <c r="AP21" i="8"/>
  <c r="AD21" i="8"/>
  <c r="F21" i="8"/>
  <c r="O21" i="8"/>
  <c r="X21" i="8"/>
  <c r="L21" i="8"/>
  <c r="AP19" i="8"/>
  <c r="AD19" i="8"/>
  <c r="I19" i="8"/>
  <c r="X19" i="8"/>
  <c r="F19" i="8"/>
  <c r="AP17" i="8"/>
  <c r="AD17" i="8"/>
  <c r="R17" i="8"/>
  <c r="I17" i="8"/>
  <c r="AA17" i="8"/>
  <c r="F17" i="8"/>
  <c r="AV17" i="8"/>
  <c r="AJ17" i="8"/>
  <c r="X17" i="8"/>
  <c r="AM14" i="8"/>
  <c r="AA14" i="8"/>
  <c r="O14" i="8"/>
  <c r="AJ14" i="8"/>
  <c r="L14" i="8"/>
  <c r="AG14" i="8"/>
  <c r="U14" i="8"/>
  <c r="I14" i="8"/>
  <c r="AS12" i="8"/>
  <c r="AG12" i="8"/>
  <c r="U12" i="8"/>
  <c r="I12" i="8"/>
  <c r="F12" i="8"/>
  <c r="AM12" i="8"/>
  <c r="AA12" i="8"/>
  <c r="AH11" i="8"/>
  <c r="AD10" i="8"/>
  <c r="U10" i="8"/>
  <c r="AM10" i="8"/>
  <c r="R10" i="8"/>
  <c r="F10" i="8"/>
  <c r="AV10" i="8"/>
  <c r="O10" i="8"/>
  <c r="AV61" i="2"/>
  <c r="P34" i="2"/>
  <c r="AN55" i="2"/>
  <c r="AM46" i="2"/>
  <c r="AQ46" i="2"/>
  <c r="G28" i="8"/>
  <c r="G12" i="8"/>
  <c r="G57" i="8"/>
  <c r="AB74" i="8"/>
  <c r="AW72" i="8"/>
  <c r="AN70" i="8"/>
  <c r="P70" i="8"/>
  <c r="AE68" i="8"/>
  <c r="Y68" i="8"/>
  <c r="AT74" i="8"/>
  <c r="S74" i="8"/>
  <c r="M68" i="8"/>
  <c r="Y74" i="8"/>
  <c r="G74" i="8"/>
  <c r="AT72" i="8"/>
  <c r="Y72" i="8"/>
  <c r="AQ70" i="8"/>
  <c r="AH70" i="8"/>
  <c r="AK68" i="8"/>
  <c r="J68" i="8"/>
  <c r="AP65" i="8"/>
  <c r="X65" i="8"/>
  <c r="L65" i="8"/>
  <c r="U65" i="8"/>
  <c r="AV65" i="8"/>
  <c r="R65" i="8"/>
  <c r="F65" i="8"/>
  <c r="AS62" i="8"/>
  <c r="AJ62" i="8"/>
  <c r="X62" i="8"/>
  <c r="M62" i="8"/>
  <c r="AN62" i="8"/>
  <c r="P62" i="8"/>
  <c r="AH62" i="8"/>
  <c r="U62" i="8"/>
  <c r="I62" i="8"/>
  <c r="AT57" i="8"/>
  <c r="AG57" i="8"/>
  <c r="U57" i="8"/>
  <c r="J57" i="8"/>
  <c r="AG55" i="8"/>
  <c r="Y55" i="8"/>
  <c r="M55" i="8"/>
  <c r="AT53" i="8"/>
  <c r="U53" i="8"/>
  <c r="Y57" i="8"/>
  <c r="AK55" i="8"/>
  <c r="P55" i="8"/>
  <c r="AQ57" i="8"/>
  <c r="AE57" i="8"/>
  <c r="S57" i="8"/>
  <c r="AP55" i="8"/>
  <c r="AD55" i="8"/>
  <c r="I55" i="8"/>
  <c r="AS53" i="8"/>
  <c r="AJ53" i="8"/>
  <c r="AE53" i="8"/>
  <c r="R53" i="8"/>
  <c r="AH49" i="8"/>
  <c r="V49" i="8"/>
  <c r="AN49" i="8"/>
  <c r="G49" i="8"/>
  <c r="AJ42" i="8"/>
  <c r="R42" i="8"/>
  <c r="AG42" i="8"/>
  <c r="O42" i="8"/>
  <c r="AP42" i="8"/>
  <c r="L42" i="8"/>
  <c r="R39" i="8"/>
  <c r="AM39" i="8"/>
  <c r="AJ39" i="8"/>
  <c r="L39" i="8"/>
  <c r="AW36" i="8"/>
  <c r="AE36" i="8"/>
  <c r="F33" i="8"/>
  <c r="AD33" i="8"/>
  <c r="AA33" i="8"/>
  <c r="O33" i="8"/>
  <c r="AP34" i="8"/>
  <c r="AD34" i="8"/>
  <c r="L34" i="8"/>
  <c r="AW33" i="8"/>
  <c r="AJ33" i="8"/>
  <c r="L33" i="8"/>
  <c r="AS32" i="8"/>
  <c r="AJ32" i="8"/>
  <c r="X32" i="8"/>
  <c r="F32" i="8"/>
  <c r="AK30" i="8"/>
  <c r="G30" i="8"/>
  <c r="AE30" i="8"/>
  <c r="V26" i="8"/>
  <c r="AK24" i="8"/>
  <c r="S22" i="8"/>
  <c r="S20" i="8"/>
  <c r="AE26" i="8"/>
  <c r="G26" i="8"/>
  <c r="AB24" i="8"/>
  <c r="AK22" i="8"/>
  <c r="AQ20" i="8"/>
  <c r="P24" i="8"/>
  <c r="AQ22" i="8"/>
  <c r="M20" i="8"/>
  <c r="AW18" i="8"/>
  <c r="Y10" i="8"/>
  <c r="J10" i="8"/>
  <c r="Y72" i="2"/>
  <c r="G74" i="2"/>
  <c r="AW72" i="2"/>
  <c r="AN70" i="2"/>
  <c r="AS65" i="2"/>
  <c r="AV62" i="2"/>
  <c r="AQ49" i="2"/>
  <c r="AQ45" i="2"/>
  <c r="AW49" i="2"/>
  <c r="AS42" i="2"/>
  <c r="AV42" i="2"/>
  <c r="AQ42" i="2"/>
  <c r="AP39" i="2"/>
  <c r="AV39" i="2"/>
  <c r="AW36" i="2"/>
  <c r="G75" i="8"/>
  <c r="I73" i="8"/>
  <c r="J25" i="8"/>
  <c r="J40" i="8"/>
  <c r="F52" i="8"/>
  <c r="I43" i="8"/>
  <c r="J35" i="8"/>
  <c r="G33" i="8"/>
  <c r="I10" i="8"/>
  <c r="G67" i="8"/>
  <c r="I57" i="8"/>
  <c r="I28" i="8"/>
  <c r="G70" i="8"/>
  <c r="J62" i="8"/>
  <c r="G48" i="8"/>
  <c r="AP49" i="2"/>
  <c r="AA46" i="2"/>
  <c r="G46" i="2"/>
  <c r="S34" i="2"/>
  <c r="AQ55" i="2"/>
  <c r="X55" i="2"/>
  <c r="P55" i="2"/>
  <c r="L55" i="2"/>
  <c r="AE34" i="2"/>
  <c r="X34" i="2"/>
  <c r="AE55" i="2"/>
  <c r="M37" i="2"/>
  <c r="AE46" i="2"/>
  <c r="AJ34" i="2"/>
  <c r="G55" i="2"/>
  <c r="AQ61" i="2"/>
  <c r="AS46" i="2"/>
  <c r="AG46" i="2"/>
  <c r="U46" i="2"/>
  <c r="O46" i="2"/>
  <c r="I46" i="2"/>
  <c r="AP34" i="2"/>
  <c r="AA34" i="2"/>
  <c r="AB55" i="2"/>
  <c r="AN34" i="2"/>
  <c r="G34" i="2"/>
  <c r="S55" i="2"/>
  <c r="AS74" i="2"/>
  <c r="L69" i="2"/>
  <c r="L34" i="2"/>
  <c r="AJ55" i="2"/>
  <c r="AT55" i="2"/>
  <c r="AH55" i="2"/>
  <c r="V55" i="2"/>
  <c r="J55" i="2"/>
  <c r="AH34" i="2"/>
  <c r="V34" i="2"/>
  <c r="J34" i="2"/>
  <c r="AV46" i="2"/>
  <c r="AJ46" i="2"/>
  <c r="X46" i="2"/>
  <c r="L46" i="2"/>
  <c r="S46" i="2"/>
  <c r="AB37" i="2"/>
  <c r="AP53" i="2"/>
  <c r="AQ44" i="2"/>
  <c r="U74" i="2"/>
  <c r="AT73" i="2"/>
  <c r="P71" i="2"/>
  <c r="AM70" i="2"/>
  <c r="AG69" i="2"/>
  <c r="F69" i="2"/>
  <c r="AH75" i="2"/>
  <c r="R37" i="2"/>
  <c r="AS61" i="2"/>
  <c r="AV55" i="2"/>
  <c r="AV53" i="2"/>
  <c r="AT49" i="2"/>
  <c r="AT45" i="2"/>
  <c r="AW35" i="2"/>
  <c r="AK69" i="2"/>
  <c r="V75" i="2"/>
  <c r="AW68" i="2"/>
  <c r="AW67" i="2"/>
  <c r="AT65" i="2"/>
  <c r="AT44" i="2"/>
  <c r="AP73" i="2"/>
  <c r="V73" i="2"/>
  <c r="AD69" i="2"/>
  <c r="AP37" i="2"/>
  <c r="AV65" i="2"/>
  <c r="AP54" i="2"/>
  <c r="AW47" i="2"/>
  <c r="AV44" i="2"/>
  <c r="AM72" i="2"/>
  <c r="S72" i="2"/>
  <c r="AE70" i="2"/>
  <c r="AQ75" i="2"/>
  <c r="AW74" i="2"/>
  <c r="AJ75" i="2"/>
  <c r="AK37" i="2"/>
  <c r="O72" i="2"/>
  <c r="J71" i="2"/>
  <c r="AJ70" i="2"/>
  <c r="J37" i="2"/>
  <c r="AT53" i="2"/>
  <c r="Y74" i="2"/>
  <c r="AT48" i="2"/>
  <c r="AV40" i="2"/>
  <c r="AT36" i="2"/>
  <c r="R73" i="2"/>
  <c r="AQ72" i="2"/>
  <c r="S71" i="2"/>
  <c r="AH70" i="2"/>
  <c r="AH37" i="2"/>
  <c r="AP66" i="2"/>
  <c r="AP56" i="2"/>
  <c r="AP45" i="2"/>
  <c r="AV43" i="2"/>
  <c r="AJ71" i="2"/>
  <c r="AE75" i="2"/>
  <c r="Y71" i="8"/>
  <c r="J70" i="8"/>
  <c r="X68" i="8"/>
  <c r="I68" i="8"/>
  <c r="F66" i="8"/>
  <c r="AY66" i="8" s="1"/>
  <c r="AJ65" i="8"/>
  <c r="AV64" i="8"/>
  <c r="AG62" i="8"/>
  <c r="L62" i="8"/>
  <c r="X60" i="8"/>
  <c r="I60" i="8"/>
  <c r="Y58" i="8"/>
  <c r="AP54" i="8"/>
  <c r="X54" i="8"/>
  <c r="AN51" i="8"/>
  <c r="X51" i="8"/>
  <c r="AW48" i="8"/>
  <c r="M46" i="8"/>
  <c r="S42" i="8"/>
  <c r="G37" i="8"/>
  <c r="AT35" i="8"/>
  <c r="AV34" i="8"/>
  <c r="AK34" i="8"/>
  <c r="AE33" i="8"/>
  <c r="G32" i="8"/>
  <c r="AH30" i="8"/>
  <c r="AT22" i="8"/>
  <c r="Y20" i="8"/>
  <c r="J20" i="8"/>
  <c r="U19" i="8"/>
  <c r="S18" i="8"/>
  <c r="AD57" i="8"/>
  <c r="O57" i="8"/>
  <c r="AE55" i="8"/>
  <c r="O55" i="8"/>
  <c r="J54" i="8"/>
  <c r="AQ53" i="8"/>
  <c r="AD53" i="8"/>
  <c r="J47" i="8"/>
  <c r="AQ46" i="8"/>
  <c r="AE44" i="8"/>
  <c r="M44" i="8"/>
  <c r="AK32" i="8"/>
  <c r="AH29" i="8"/>
  <c r="J19" i="8"/>
  <c r="O17" i="8"/>
  <c r="V16" i="8"/>
  <c r="P13" i="8"/>
  <c r="AN12" i="8"/>
  <c r="AK40" i="8"/>
  <c r="P36" i="8"/>
  <c r="AT34" i="8"/>
  <c r="P34" i="8"/>
  <c r="AB33" i="8"/>
  <c r="AM73" i="8"/>
  <c r="AB73" i="8"/>
  <c r="J72" i="8"/>
  <c r="F71" i="8"/>
  <c r="AK70" i="8"/>
  <c r="U61" i="8"/>
  <c r="AE60" i="8"/>
  <c r="AB35" i="8"/>
  <c r="AK16" i="8"/>
  <c r="P11" i="8"/>
  <c r="L9" i="8"/>
  <c r="J75" i="8"/>
  <c r="S72" i="8"/>
  <c r="AT66" i="8"/>
  <c r="AM62" i="8"/>
  <c r="G62" i="8"/>
  <c r="AE58" i="8"/>
  <c r="O58" i="8"/>
  <c r="X57" i="8"/>
  <c r="V56" i="8"/>
  <c r="P54" i="8"/>
  <c r="AW53" i="8"/>
  <c r="AK53" i="8"/>
  <c r="AM52" i="8"/>
  <c r="AW49" i="8"/>
  <c r="J49" i="8"/>
  <c r="R43" i="8"/>
  <c r="AK35" i="8"/>
  <c r="M34" i="8"/>
  <c r="M32" i="8"/>
  <c r="AW26" i="8"/>
  <c r="AH25" i="8"/>
  <c r="AE20" i="8"/>
  <c r="AV18" i="8"/>
  <c r="V14" i="8"/>
  <c r="Y13" i="8"/>
  <c r="J12" i="8"/>
  <c r="AQ11" i="8"/>
  <c r="AQ74" i="8"/>
  <c r="F74" i="8"/>
  <c r="AJ73" i="8"/>
  <c r="AV72" i="8"/>
  <c r="AK72" i="8"/>
  <c r="S71" i="8"/>
  <c r="AG70" i="8"/>
  <c r="M70" i="8"/>
  <c r="AV69" i="8"/>
  <c r="S69" i="8"/>
  <c r="I65" i="8"/>
  <c r="AM64" i="8"/>
  <c r="J64" i="8"/>
  <c r="AT51" i="8"/>
  <c r="P51" i="8"/>
  <c r="AH47" i="8"/>
  <c r="AW46" i="8"/>
  <c r="S46" i="8"/>
  <c r="AT45" i="8"/>
  <c r="AB45" i="8"/>
  <c r="AK44" i="8"/>
  <c r="G44" i="8"/>
  <c r="AH40" i="8"/>
  <c r="M37" i="8"/>
  <c r="AN29" i="8"/>
  <c r="S25" i="8"/>
  <c r="S24" i="8"/>
  <c r="G24" i="8"/>
  <c r="AK23" i="8"/>
  <c r="Y23" i="8"/>
  <c r="AN20" i="8"/>
  <c r="AS19" i="8"/>
  <c r="Y19" i="8"/>
  <c r="P19" i="8"/>
  <c r="AV71" i="8"/>
  <c r="AA71" i="8"/>
  <c r="AB68" i="8"/>
  <c r="L68" i="8"/>
  <c r="AP67" i="8"/>
  <c r="X66" i="8"/>
  <c r="AM65" i="8"/>
  <c r="AB65" i="8"/>
  <c r="AK62" i="8"/>
  <c r="AB60" i="8"/>
  <c r="L60" i="8"/>
  <c r="AB58" i="8"/>
  <c r="M58" i="8"/>
  <c r="V57" i="8"/>
  <c r="AB54" i="8"/>
  <c r="AB51" i="8"/>
  <c r="AQ36" i="8"/>
  <c r="Y36" i="8"/>
  <c r="AN34" i="8"/>
  <c r="F30" i="8"/>
  <c r="J29" i="8"/>
  <c r="AW22" i="8"/>
  <c r="L20" i="8"/>
  <c r="AK14" i="8"/>
  <c r="S10" i="8"/>
  <c r="G60" i="7"/>
  <c r="F60" i="7"/>
  <c r="R47" i="7"/>
  <c r="S47" i="7"/>
  <c r="L30" i="7"/>
  <c r="M30" i="7"/>
  <c r="AH75" i="7"/>
  <c r="G73" i="7"/>
  <c r="AB70" i="7"/>
  <c r="AK67" i="7"/>
  <c r="S66" i="7"/>
  <c r="AB65" i="7"/>
  <c r="AH62" i="7"/>
  <c r="AP61" i="7"/>
  <c r="AQ61" i="7"/>
  <c r="AS60" i="7"/>
  <c r="AT60" i="7"/>
  <c r="AS35" i="7"/>
  <c r="AT35" i="7"/>
  <c r="U35" i="7"/>
  <c r="V35" i="7"/>
  <c r="AJ30" i="7"/>
  <c r="AK30" i="7"/>
  <c r="Y24" i="7"/>
  <c r="X24" i="7"/>
  <c r="F22" i="7"/>
  <c r="G22" i="7"/>
  <c r="O21" i="7"/>
  <c r="P21" i="7"/>
  <c r="R13" i="7"/>
  <c r="S13" i="7"/>
  <c r="AS23" i="7"/>
  <c r="AT23" i="7"/>
  <c r="F71" i="7"/>
  <c r="AX69" i="7"/>
  <c r="AQ68" i="7"/>
  <c r="AB67" i="7"/>
  <c r="AA66" i="7"/>
  <c r="AJ65" i="7"/>
  <c r="AK64" i="7"/>
  <c r="M64" i="7"/>
  <c r="AQ60" i="7"/>
  <c r="L56" i="7"/>
  <c r="AP47" i="7"/>
  <c r="AQ47" i="7"/>
  <c r="AA45" i="7"/>
  <c r="AB45" i="7"/>
  <c r="Y43" i="7"/>
  <c r="X43" i="7"/>
  <c r="AV39" i="7"/>
  <c r="AW39" i="7"/>
  <c r="AG36" i="7"/>
  <c r="AH36" i="7"/>
  <c r="AV25" i="7"/>
  <c r="AW25" i="7"/>
  <c r="X12" i="7"/>
  <c r="Y12" i="7"/>
  <c r="AW71" i="7"/>
  <c r="J70" i="7"/>
  <c r="AW68" i="7"/>
  <c r="AH67" i="7"/>
  <c r="P66" i="7"/>
  <c r="Y65" i="7"/>
  <c r="AH64" i="7"/>
  <c r="J64" i="7"/>
  <c r="AX61" i="7"/>
  <c r="AE54" i="7"/>
  <c r="S52" i="7"/>
  <c r="AD49" i="7"/>
  <c r="AE49" i="7"/>
  <c r="L44" i="7"/>
  <c r="AX44" i="7"/>
  <c r="M44" i="7"/>
  <c r="R42" i="7"/>
  <c r="S42" i="7"/>
  <c r="AH29" i="7"/>
  <c r="AG29" i="7"/>
  <c r="AS28" i="7"/>
  <c r="AT28" i="7"/>
  <c r="F14" i="7"/>
  <c r="AX14" i="7"/>
  <c r="G14" i="7"/>
  <c r="AS10" i="7"/>
  <c r="AT10" i="7"/>
  <c r="F62" i="7"/>
  <c r="G62" i="7"/>
  <c r="O75" i="7"/>
  <c r="G75" i="7"/>
  <c r="AJ73" i="7"/>
  <c r="Y72" i="7"/>
  <c r="AN71" i="7"/>
  <c r="AS69" i="7"/>
  <c r="AP67" i="7"/>
  <c r="I65" i="7"/>
  <c r="AP64" i="7"/>
  <c r="R64" i="7"/>
  <c r="AM62" i="7"/>
  <c r="O62" i="7"/>
  <c r="AV61" i="7"/>
  <c r="R61" i="7"/>
  <c r="U60" i="7"/>
  <c r="V60" i="7"/>
  <c r="L57" i="7"/>
  <c r="AN55" i="7"/>
  <c r="F49" i="7"/>
  <c r="G49" i="7"/>
  <c r="O43" i="7"/>
  <c r="P43" i="7"/>
  <c r="I36" i="7"/>
  <c r="J36" i="7"/>
  <c r="AG35" i="7"/>
  <c r="AH35" i="7"/>
  <c r="I35" i="7"/>
  <c r="J35" i="7"/>
  <c r="AT30" i="7"/>
  <c r="AS30" i="7"/>
  <c r="O24" i="7"/>
  <c r="P24" i="7"/>
  <c r="AX24" i="7"/>
  <c r="U23" i="7"/>
  <c r="V23" i="7"/>
  <c r="AS11" i="7"/>
  <c r="AT11" i="7"/>
  <c r="L19" i="7"/>
  <c r="M19" i="7"/>
  <c r="U56" i="7"/>
  <c r="F53" i="7"/>
  <c r="AX53" i="7"/>
  <c r="AS49" i="7"/>
  <c r="AT49" i="7"/>
  <c r="AG46" i="7"/>
  <c r="AH46" i="7"/>
  <c r="L29" i="7"/>
  <c r="M29" i="7"/>
  <c r="AP21" i="7"/>
  <c r="AQ21" i="7"/>
  <c r="I51" i="7"/>
  <c r="J51" i="7"/>
  <c r="M75" i="7"/>
  <c r="U72" i="7"/>
  <c r="AT71" i="7"/>
  <c r="AM70" i="7"/>
  <c r="G70" i="7"/>
  <c r="AQ69" i="7"/>
  <c r="AT68" i="7"/>
  <c r="I68" i="7"/>
  <c r="AM67" i="7"/>
  <c r="AE67" i="7"/>
  <c r="M66" i="7"/>
  <c r="V65" i="7"/>
  <c r="G65" i="7"/>
  <c r="AN64" i="7"/>
  <c r="AE64" i="7"/>
  <c r="P64" i="7"/>
  <c r="AG61" i="7"/>
  <c r="AH61" i="7"/>
  <c r="AE60" i="7"/>
  <c r="AD60" i="7"/>
  <c r="AP58" i="7"/>
  <c r="AQ58" i="7"/>
  <c r="G54" i="7"/>
  <c r="R53" i="7"/>
  <c r="U49" i="7"/>
  <c r="V49" i="7"/>
  <c r="I46" i="7"/>
  <c r="J46" i="7"/>
  <c r="AV32" i="7"/>
  <c r="AW32" i="7"/>
  <c r="V30" i="7"/>
  <c r="U30" i="7"/>
  <c r="V19" i="7"/>
  <c r="U19" i="7"/>
  <c r="AS16" i="7"/>
  <c r="AT16" i="7"/>
  <c r="L11" i="7"/>
  <c r="M11" i="7"/>
  <c r="AP40" i="7"/>
  <c r="AQ40" i="7"/>
  <c r="AK74" i="7"/>
  <c r="X74" i="7"/>
  <c r="P74" i="7"/>
  <c r="AP72" i="7"/>
  <c r="O70" i="7"/>
  <c r="AH69" i="7"/>
  <c r="AD68" i="7"/>
  <c r="O67" i="7"/>
  <c r="AV55" i="7"/>
  <c r="P55" i="7"/>
  <c r="AA52" i="7"/>
  <c r="AV46" i="7"/>
  <c r="AW46" i="7"/>
  <c r="X44" i="7"/>
  <c r="Y44" i="7"/>
  <c r="AD42" i="7"/>
  <c r="AE42" i="7"/>
  <c r="F42" i="7"/>
  <c r="G42" i="7"/>
  <c r="X37" i="7"/>
  <c r="Y37" i="7"/>
  <c r="AP13" i="7"/>
  <c r="AQ13" i="7"/>
  <c r="J12" i="7"/>
  <c r="I12" i="7"/>
  <c r="U61" i="7"/>
  <c r="M61" i="7"/>
  <c r="AG60" i="7"/>
  <c r="AS58" i="7"/>
  <c r="AK58" i="7"/>
  <c r="V58" i="7"/>
  <c r="AT57" i="7"/>
  <c r="AE57" i="7"/>
  <c r="AN56" i="7"/>
  <c r="P56" i="7"/>
  <c r="AD55" i="7"/>
  <c r="F55" i="7"/>
  <c r="AA54" i="7"/>
  <c r="AV53" i="7"/>
  <c r="X53" i="7"/>
  <c r="AV52" i="7"/>
  <c r="X52" i="7"/>
  <c r="AD51" i="7"/>
  <c r="F51" i="7"/>
  <c r="AA49" i="7"/>
  <c r="AS48" i="7"/>
  <c r="U48" i="7"/>
  <c r="AD46" i="7"/>
  <c r="AG45" i="7"/>
  <c r="X45" i="7"/>
  <c r="R44" i="7"/>
  <c r="I44" i="7"/>
  <c r="AH43" i="7"/>
  <c r="U43" i="7"/>
  <c r="AA42" i="7"/>
  <c r="AV40" i="7"/>
  <c r="M40" i="7"/>
  <c r="AP35" i="7"/>
  <c r="R35" i="7"/>
  <c r="AW34" i="7"/>
  <c r="AG34" i="7"/>
  <c r="Y34" i="7"/>
  <c r="I34" i="7"/>
  <c r="AP33" i="7"/>
  <c r="AH33" i="7"/>
  <c r="R33" i="7"/>
  <c r="J33" i="7"/>
  <c r="V32" i="7"/>
  <c r="G30" i="7"/>
  <c r="AN29" i="7"/>
  <c r="AE28" i="7"/>
  <c r="AJ26" i="7"/>
  <c r="Y26" i="7"/>
  <c r="AH24" i="7"/>
  <c r="AB23" i="7"/>
  <c r="M22" i="7"/>
  <c r="V21" i="7"/>
  <c r="AE20" i="7"/>
  <c r="G20" i="7"/>
  <c r="AE19" i="7"/>
  <c r="O17" i="7"/>
  <c r="G17" i="7"/>
  <c r="X16" i="7"/>
  <c r="P16" i="7"/>
  <c r="AK14" i="7"/>
  <c r="M14" i="7"/>
  <c r="X13" i="7"/>
  <c r="AE12" i="7"/>
  <c r="AE11" i="7"/>
  <c r="S10" i="7"/>
  <c r="I60" i="7"/>
  <c r="M58" i="7"/>
  <c r="V57" i="7"/>
  <c r="G57" i="7"/>
  <c r="AE56" i="7"/>
  <c r="AQ55" i="7"/>
  <c r="S55" i="7"/>
  <c r="AH54" i="7"/>
  <c r="J54" i="7"/>
  <c r="AK53" i="7"/>
  <c r="M53" i="7"/>
  <c r="AK51" i="7"/>
  <c r="M51" i="7"/>
  <c r="AH48" i="7"/>
  <c r="J48" i="7"/>
  <c r="AT47" i="7"/>
  <c r="V47" i="7"/>
  <c r="P46" i="7"/>
  <c r="AQ43" i="7"/>
  <c r="V40" i="7"/>
  <c r="AE39" i="7"/>
  <c r="AB37" i="7"/>
  <c r="AK36" i="7"/>
  <c r="M36" i="7"/>
  <c r="AW35" i="7"/>
  <c r="Y35" i="7"/>
  <c r="AD32" i="7"/>
  <c r="AN30" i="7"/>
  <c r="P30" i="7"/>
  <c r="S29" i="7"/>
  <c r="L28" i="7"/>
  <c r="AW26" i="7"/>
  <c r="I26" i="7"/>
  <c r="AM25" i="7"/>
  <c r="AE25" i="7"/>
  <c r="O25" i="7"/>
  <c r="G25" i="7"/>
  <c r="AQ24" i="7"/>
  <c r="AJ23" i="7"/>
  <c r="AK22" i="7"/>
  <c r="AM20" i="7"/>
  <c r="AN19" i="7"/>
  <c r="AW18" i="7"/>
  <c r="Y18" i="7"/>
  <c r="AS14" i="7"/>
  <c r="U14" i="7"/>
  <c r="AK13" i="7"/>
  <c r="M13" i="7"/>
  <c r="AN10" i="7"/>
  <c r="AA10" i="7"/>
  <c r="AW9" i="7"/>
  <c r="AJ9" i="7"/>
  <c r="Y9" i="7"/>
  <c r="L9" i="7"/>
  <c r="AW54" i="7"/>
  <c r="Y54" i="7"/>
  <c r="AT52" i="7"/>
  <c r="V52" i="7"/>
  <c r="AB51" i="7"/>
  <c r="AW49" i="7"/>
  <c r="Y49" i="7"/>
  <c r="AD45" i="7"/>
  <c r="V45" i="7"/>
  <c r="O44" i="7"/>
  <c r="G44" i="7"/>
  <c r="S43" i="7"/>
  <c r="AW42" i="7"/>
  <c r="AG42" i="7"/>
  <c r="Y42" i="7"/>
  <c r="I42" i="7"/>
  <c r="AT40" i="7"/>
  <c r="AM39" i="7"/>
  <c r="P37" i="7"/>
  <c r="Y36" i="7"/>
  <c r="AN35" i="7"/>
  <c r="P35" i="7"/>
  <c r="AE34" i="7"/>
  <c r="G34" i="7"/>
  <c r="AN33" i="7"/>
  <c r="P33" i="7"/>
  <c r="AQ32" i="7"/>
  <c r="AA29" i="7"/>
  <c r="AM28" i="7"/>
  <c r="S24" i="7"/>
  <c r="L23" i="7"/>
  <c r="AS22" i="7"/>
  <c r="AT21" i="7"/>
  <c r="P19" i="7"/>
  <c r="AG18" i="7"/>
  <c r="F18" i="7"/>
  <c r="M17" i="7"/>
  <c r="AV16" i="7"/>
  <c r="AN16" i="7"/>
  <c r="V16" i="7"/>
  <c r="AT13" i="7"/>
  <c r="V13" i="7"/>
  <c r="P11" i="7"/>
  <c r="AW10" i="7"/>
  <c r="AN48" i="7"/>
  <c r="P48" i="7"/>
  <c r="AD47" i="7"/>
  <c r="F47" i="7"/>
  <c r="AT45" i="7"/>
  <c r="F45" i="7"/>
  <c r="AB44" i="7"/>
  <c r="AA43" i="7"/>
  <c r="L39" i="7"/>
  <c r="AW37" i="7"/>
  <c r="AQ34" i="7"/>
  <c r="S34" i="7"/>
  <c r="AB33" i="7"/>
  <c r="AA32" i="7"/>
  <c r="S32" i="7"/>
  <c r="AV30" i="7"/>
  <c r="X30" i="7"/>
  <c r="AT29" i="7"/>
  <c r="AK29" i="7"/>
  <c r="AW28" i="7"/>
  <c r="AA28" i="7"/>
  <c r="J28" i="7"/>
  <c r="AD26" i="7"/>
  <c r="F26" i="7"/>
  <c r="AK25" i="7"/>
  <c r="AB25" i="7"/>
  <c r="M25" i="7"/>
  <c r="AA24" i="7"/>
  <c r="AW23" i="7"/>
  <c r="AG23" i="7"/>
  <c r="Y23" i="7"/>
  <c r="R22" i="7"/>
  <c r="J22" i="7"/>
  <c r="AA21" i="7"/>
  <c r="S21" i="7"/>
  <c r="AJ20" i="7"/>
  <c r="AB20" i="7"/>
  <c r="L20" i="7"/>
  <c r="X19" i="7"/>
  <c r="AK17" i="7"/>
  <c r="AP14" i="7"/>
  <c r="AH14" i="7"/>
  <c r="R14" i="7"/>
  <c r="J14" i="7"/>
  <c r="AB12" i="7"/>
  <c r="L12" i="7"/>
  <c r="X11" i="7"/>
  <c r="Y10" i="7"/>
  <c r="AH9" i="7"/>
  <c r="J9" i="7"/>
  <c r="AE48" i="7"/>
  <c r="G48" i="7"/>
  <c r="U46" i="7"/>
  <c r="S45" i="7"/>
  <c r="AV43" i="7"/>
  <c r="AT42" i="7"/>
  <c r="AA40" i="7"/>
  <c r="S40" i="7"/>
  <c r="AJ39" i="7"/>
  <c r="AB39" i="7"/>
  <c r="AG37" i="7"/>
  <c r="AP36" i="7"/>
  <c r="X29" i="7"/>
  <c r="S26" i="7"/>
  <c r="AV24" i="7"/>
  <c r="AN24" i="7"/>
  <c r="I23" i="7"/>
  <c r="AP22" i="7"/>
  <c r="AH22" i="7"/>
  <c r="AW20" i="7"/>
  <c r="AS19" i="7"/>
  <c r="AK19" i="7"/>
  <c r="AT18" i="7"/>
  <c r="AD18" i="7"/>
  <c r="V18" i="7"/>
  <c r="AW17" i="7"/>
  <c r="Y17" i="7"/>
  <c r="J16" i="7"/>
  <c r="AD13" i="7"/>
  <c r="AJ12" i="7"/>
  <c r="AK11" i="7"/>
  <c r="AG10" i="7"/>
  <c r="AP9" i="7"/>
  <c r="R9" i="7"/>
  <c r="AN47" i="7"/>
  <c r="P47" i="7"/>
  <c r="AN40" i="7"/>
  <c r="AT39" i="7"/>
  <c r="V39" i="7"/>
  <c r="AN13" i="7"/>
  <c r="AX37" i="2"/>
  <c r="AW37" i="2"/>
  <c r="Y37" i="2"/>
  <c r="AN37" i="2"/>
  <c r="P37" i="2"/>
  <c r="AE37" i="2"/>
  <c r="G37" i="2"/>
  <c r="AT37" i="2"/>
  <c r="V37" i="2"/>
  <c r="AV57" i="2"/>
  <c r="AV52" i="2"/>
  <c r="AV48" i="2"/>
  <c r="AV36" i="2"/>
  <c r="AB74" i="2"/>
  <c r="AW73" i="2"/>
  <c r="Y73" i="2"/>
  <c r="AT72" i="2"/>
  <c r="V72" i="2"/>
  <c r="AQ71" i="2"/>
  <c r="M70" i="2"/>
  <c r="M75" i="2"/>
  <c r="AQ74" i="2"/>
  <c r="S74" i="2"/>
  <c r="AN73" i="2"/>
  <c r="P73" i="2"/>
  <c r="AK72" i="2"/>
  <c r="M72" i="2"/>
  <c r="AH71" i="2"/>
  <c r="AT68" i="2"/>
  <c r="AQ65" i="2"/>
  <c r="AT57" i="2"/>
  <c r="AW56" i="2"/>
  <c r="AT52" i="2"/>
  <c r="AQ40" i="2"/>
  <c r="AW60" i="2"/>
  <c r="J70" i="2"/>
  <c r="AV45" i="2"/>
  <c r="AB69" i="2"/>
  <c r="AQ68" i="2"/>
  <c r="AQ57" i="2"/>
  <c r="AT56" i="2"/>
  <c r="AQ52" i="2"/>
  <c r="AQ48" i="2"/>
  <c r="AW39" i="2"/>
  <c r="AQ36" i="2"/>
  <c r="M71" i="2"/>
  <c r="P70" i="2"/>
  <c r="AP58" i="2"/>
  <c r="AS56" i="2"/>
  <c r="AD74" i="2"/>
  <c r="F74" i="2"/>
  <c r="AA73" i="2"/>
  <c r="AV72" i="2"/>
  <c r="X72" i="2"/>
  <c r="AS71" i="2"/>
  <c r="G70" i="2"/>
  <c r="AY75" i="7"/>
  <c r="AM57" i="7"/>
  <c r="AN57" i="7"/>
  <c r="I47" i="7"/>
  <c r="J47" i="7"/>
  <c r="AX47" i="7"/>
  <c r="AX75" i="7"/>
  <c r="F66" i="7"/>
  <c r="G66" i="7"/>
  <c r="AX66" i="7"/>
  <c r="O65" i="7"/>
  <c r="P65" i="7"/>
  <c r="AV64" i="7"/>
  <c r="AW64" i="7"/>
  <c r="X64" i="7"/>
  <c r="Y64" i="7"/>
  <c r="AX64" i="7"/>
  <c r="F58" i="7"/>
  <c r="G58" i="7"/>
  <c r="AX58" i="7"/>
  <c r="O57" i="7"/>
  <c r="AY57" i="7" s="1"/>
  <c r="P57" i="7"/>
  <c r="AZ57" i="7" s="1"/>
  <c r="BA57" i="7" s="1"/>
  <c r="AV56" i="7"/>
  <c r="AW56" i="7"/>
  <c r="X56" i="7"/>
  <c r="AY56" i="7" s="1"/>
  <c r="Y56" i="7"/>
  <c r="AX56" i="7"/>
  <c r="Y46" i="7"/>
  <c r="X46" i="7"/>
  <c r="J37" i="7"/>
  <c r="AX37" i="7"/>
  <c r="I37" i="7"/>
  <c r="AX32" i="7"/>
  <c r="G32" i="7"/>
  <c r="F32" i="7"/>
  <c r="AD66" i="7"/>
  <c r="AE66" i="7"/>
  <c r="AD58" i="7"/>
  <c r="AE58" i="7"/>
  <c r="AG47" i="7"/>
  <c r="AH47" i="7"/>
  <c r="AW75" i="7"/>
  <c r="AG74" i="7"/>
  <c r="AH74" i="7"/>
  <c r="R72" i="7"/>
  <c r="AP70" i="7"/>
  <c r="AQ70" i="7"/>
  <c r="AJ68" i="7"/>
  <c r="AK68" i="7"/>
  <c r="AS67" i="7"/>
  <c r="AT67" i="7"/>
  <c r="AJ60" i="7"/>
  <c r="AK60" i="7"/>
  <c r="AP54" i="7"/>
  <c r="AQ54" i="7"/>
  <c r="R54" i="7"/>
  <c r="S54" i="7"/>
  <c r="M74" i="7"/>
  <c r="AG73" i="7"/>
  <c r="AX72" i="7"/>
  <c r="AE72" i="7"/>
  <c r="AG71" i="7"/>
  <c r="AH71" i="7"/>
  <c r="R70" i="7"/>
  <c r="S70" i="7"/>
  <c r="L68" i="7"/>
  <c r="M68" i="7"/>
  <c r="U67" i="7"/>
  <c r="V67" i="7"/>
  <c r="AX67" i="7"/>
  <c r="AP62" i="7"/>
  <c r="AY62" i="7" s="1"/>
  <c r="AQ62" i="7"/>
  <c r="R62" i="7"/>
  <c r="S62" i="7"/>
  <c r="L60" i="7"/>
  <c r="M60" i="7"/>
  <c r="AW29" i="7"/>
  <c r="AV29" i="7"/>
  <c r="AE75" i="7"/>
  <c r="I71" i="7"/>
  <c r="AY71" i="7" s="1"/>
  <c r="J71" i="7"/>
  <c r="AX71" i="7"/>
  <c r="AG55" i="7"/>
  <c r="AH55" i="7"/>
  <c r="I55" i="7"/>
  <c r="AY55" i="7" s="1"/>
  <c r="J55" i="7"/>
  <c r="AX55" i="7"/>
  <c r="AA53" i="7"/>
  <c r="AY53" i="7" s="1"/>
  <c r="AB53" i="7"/>
  <c r="AS51" i="7"/>
  <c r="AT51" i="7"/>
  <c r="U51" i="7"/>
  <c r="V51" i="7"/>
  <c r="AX51" i="7"/>
  <c r="AM45" i="7"/>
  <c r="AY45" i="7" s="1"/>
  <c r="AN45" i="7"/>
  <c r="AB35" i="7"/>
  <c r="AA35" i="7"/>
  <c r="AX35" i="7"/>
  <c r="R73" i="7"/>
  <c r="AY73" i="7" s="1"/>
  <c r="S73" i="7"/>
  <c r="AE40" i="7"/>
  <c r="AD40" i="7"/>
  <c r="AV74" i="7"/>
  <c r="I74" i="7"/>
  <c r="J74" i="7"/>
  <c r="AA72" i="7"/>
  <c r="AB72" i="7"/>
  <c r="G72" i="7"/>
  <c r="AZ72" i="7" s="1"/>
  <c r="AX54" i="7"/>
  <c r="AV48" i="7"/>
  <c r="AW48" i="7"/>
  <c r="X48" i="7"/>
  <c r="Y48" i="7"/>
  <c r="AX48" i="7"/>
  <c r="L43" i="7"/>
  <c r="M43" i="7"/>
  <c r="F29" i="7"/>
  <c r="G29" i="7"/>
  <c r="AX29" i="7"/>
  <c r="AP73" i="7"/>
  <c r="AQ73" i="7"/>
  <c r="J73" i="7"/>
  <c r="AX73" i="7"/>
  <c r="AY72" i="7"/>
  <c r="AJ52" i="7"/>
  <c r="AK52" i="7"/>
  <c r="L52" i="7"/>
  <c r="AY52" i="7" s="1"/>
  <c r="M52" i="7"/>
  <c r="AM49" i="7"/>
  <c r="AN49" i="7"/>
  <c r="O49" i="7"/>
  <c r="P49" i="7"/>
  <c r="AP46" i="7"/>
  <c r="AQ46" i="7"/>
  <c r="R39" i="7"/>
  <c r="AY39" i="7" s="1"/>
  <c r="S39" i="7"/>
  <c r="P28" i="7"/>
  <c r="AX28" i="7"/>
  <c r="O28" i="7"/>
  <c r="AM65" i="7"/>
  <c r="AY65" i="7" s="1"/>
  <c r="AN65" i="7"/>
  <c r="AB75" i="7"/>
  <c r="F74" i="7"/>
  <c r="AY74" i="7" s="1"/>
  <c r="AX74" i="7"/>
  <c r="AN73" i="7"/>
  <c r="AW70" i="7"/>
  <c r="AX70" i="7"/>
  <c r="AA69" i="7"/>
  <c r="AY69" i="7" s="1"/>
  <c r="AB69" i="7"/>
  <c r="AX62" i="7"/>
  <c r="AA61" i="7"/>
  <c r="AY61" i="7" s="1"/>
  <c r="AB61" i="7"/>
  <c r="AY51" i="7"/>
  <c r="AW19" i="7"/>
  <c r="AV19" i="7"/>
  <c r="AX68" i="7"/>
  <c r="AX60" i="7"/>
  <c r="AX52" i="7"/>
  <c r="M46" i="7"/>
  <c r="AJ45" i="7"/>
  <c r="AK45" i="7"/>
  <c r="AW44" i="7"/>
  <c r="J43" i="7"/>
  <c r="V42" i="7"/>
  <c r="AX40" i="7"/>
  <c r="G40" i="7"/>
  <c r="R36" i="7"/>
  <c r="AX34" i="7"/>
  <c r="M34" i="7"/>
  <c r="AQ25" i="7"/>
  <c r="AP25" i="7"/>
  <c r="S25" i="7"/>
  <c r="AX25" i="7"/>
  <c r="X20" i="7"/>
  <c r="Y20" i="7"/>
  <c r="AG13" i="7"/>
  <c r="AH13" i="7"/>
  <c r="I13" i="7"/>
  <c r="J13" i="7"/>
  <c r="AM12" i="7"/>
  <c r="L45" i="7"/>
  <c r="M45" i="7"/>
  <c r="AD43" i="7"/>
  <c r="AE43" i="7"/>
  <c r="AX39" i="7"/>
  <c r="P39" i="7"/>
  <c r="AP37" i="7"/>
  <c r="AQ37" i="7"/>
  <c r="AM32" i="7"/>
  <c r="AN32" i="7"/>
  <c r="O29" i="7"/>
  <c r="P29" i="7"/>
  <c r="AX12" i="7"/>
  <c r="P12" i="7"/>
  <c r="AK71" i="7"/>
  <c r="M71" i="7"/>
  <c r="AT70" i="7"/>
  <c r="V70" i="7"/>
  <c r="AE69" i="7"/>
  <c r="G69" i="7"/>
  <c r="AN68" i="7"/>
  <c r="AZ68" i="7" s="1"/>
  <c r="P68" i="7"/>
  <c r="AW67" i="7"/>
  <c r="Y67" i="7"/>
  <c r="AH66" i="7"/>
  <c r="J66" i="7"/>
  <c r="AQ65" i="7"/>
  <c r="S65" i="7"/>
  <c r="AZ65" i="7" s="1"/>
  <c r="AB64" i="7"/>
  <c r="AT62" i="7"/>
  <c r="V62" i="7"/>
  <c r="AE61" i="7"/>
  <c r="G61" i="7"/>
  <c r="AN60" i="7"/>
  <c r="P60" i="7"/>
  <c r="AH58" i="7"/>
  <c r="J58" i="7"/>
  <c r="AQ57" i="7"/>
  <c r="S57" i="7"/>
  <c r="AB56" i="7"/>
  <c r="AK55" i="7"/>
  <c r="M55" i="7"/>
  <c r="AT54" i="7"/>
  <c r="V54" i="7"/>
  <c r="AE53" i="7"/>
  <c r="G53" i="7"/>
  <c r="AN52" i="7"/>
  <c r="P52" i="7"/>
  <c r="AW51" i="7"/>
  <c r="Y51" i="7"/>
  <c r="AQ49" i="7"/>
  <c r="S49" i="7"/>
  <c r="AB48" i="7"/>
  <c r="AK47" i="7"/>
  <c r="M47" i="7"/>
  <c r="AT46" i="7"/>
  <c r="AS44" i="7"/>
  <c r="AT44" i="7"/>
  <c r="AX43" i="7"/>
  <c r="F43" i="7"/>
  <c r="G43" i="7"/>
  <c r="R37" i="7"/>
  <c r="S37" i="7"/>
  <c r="AJ35" i="7"/>
  <c r="AK35" i="7"/>
  <c r="O32" i="7"/>
  <c r="P32" i="7"/>
  <c r="O23" i="7"/>
  <c r="P23" i="7"/>
  <c r="AZ23" i="7" s="1"/>
  <c r="AD14" i="7"/>
  <c r="AE14" i="7"/>
  <c r="AS9" i="7"/>
  <c r="AT9" i="7"/>
  <c r="M70" i="7"/>
  <c r="AZ70" i="7" s="1"/>
  <c r="AX65" i="7"/>
  <c r="M62" i="7"/>
  <c r="AX57" i="7"/>
  <c r="AQ56" i="7"/>
  <c r="S56" i="7"/>
  <c r="AZ56" i="7" s="1"/>
  <c r="BA56" i="7" s="1"/>
  <c r="AB55" i="7"/>
  <c r="AK54" i="7"/>
  <c r="M54" i="7"/>
  <c r="AT53" i="7"/>
  <c r="V53" i="7"/>
  <c r="AE52" i="7"/>
  <c r="G52" i="7"/>
  <c r="AN51" i="7"/>
  <c r="P51" i="7"/>
  <c r="AX49" i="7"/>
  <c r="AH49" i="7"/>
  <c r="J49" i="7"/>
  <c r="AQ48" i="7"/>
  <c r="S48" i="7"/>
  <c r="AZ48" i="7" s="1"/>
  <c r="AB47" i="7"/>
  <c r="AK46" i="7"/>
  <c r="J45" i="7"/>
  <c r="AX45" i="7"/>
  <c r="AP44" i="7"/>
  <c r="U44" i="7"/>
  <c r="V44" i="7"/>
  <c r="AZ44" i="7" s="1"/>
  <c r="AM42" i="7"/>
  <c r="AN42" i="7"/>
  <c r="AK40" i="7"/>
  <c r="Y39" i="7"/>
  <c r="AX36" i="7"/>
  <c r="L35" i="7"/>
  <c r="M35" i="7"/>
  <c r="AS34" i="7"/>
  <c r="AT34" i="7"/>
  <c r="U34" i="7"/>
  <c r="V34" i="7"/>
  <c r="AG30" i="7"/>
  <c r="AH30" i="7"/>
  <c r="I30" i="7"/>
  <c r="J30" i="7"/>
  <c r="AX30" i="7"/>
  <c r="Y28" i="7"/>
  <c r="U26" i="7"/>
  <c r="V26" i="7"/>
  <c r="AJ21" i="7"/>
  <c r="AK21" i="7"/>
  <c r="AP18" i="7"/>
  <c r="AQ18" i="7"/>
  <c r="S18" i="7"/>
  <c r="AK16" i="7"/>
  <c r="L54" i="7"/>
  <c r="AA46" i="7"/>
  <c r="G46" i="7"/>
  <c r="AQ45" i="7"/>
  <c r="AJ42" i="7"/>
  <c r="O42" i="7"/>
  <c r="P42" i="7"/>
  <c r="AA36" i="7"/>
  <c r="AY36" i="7" s="1"/>
  <c r="AB36" i="7"/>
  <c r="AG21" i="7"/>
  <c r="AH21" i="7"/>
  <c r="F19" i="7"/>
  <c r="G19" i="7"/>
  <c r="AX19" i="7"/>
  <c r="J10" i="7"/>
  <c r="AX10" i="7"/>
  <c r="I10" i="7"/>
  <c r="AG40" i="7"/>
  <c r="AY40" i="7" s="1"/>
  <c r="AH40" i="7"/>
  <c r="AD33" i="7"/>
  <c r="AE33" i="7"/>
  <c r="AP26" i="7"/>
  <c r="AQ26" i="7"/>
  <c r="AX46" i="7"/>
  <c r="AX42" i="7"/>
  <c r="M42" i="7"/>
  <c r="I40" i="7"/>
  <c r="J40" i="7"/>
  <c r="AP39" i="7"/>
  <c r="AQ39" i="7"/>
  <c r="AX33" i="7"/>
  <c r="F33" i="7"/>
  <c r="G33" i="7"/>
  <c r="AA19" i="7"/>
  <c r="AB19" i="7"/>
  <c r="S17" i="7"/>
  <c r="AX17" i="7"/>
  <c r="R17" i="7"/>
  <c r="I11" i="7"/>
  <c r="AX11" i="7"/>
  <c r="J11" i="7"/>
  <c r="AS25" i="7"/>
  <c r="AT25" i="7"/>
  <c r="F24" i="7"/>
  <c r="G24" i="7"/>
  <c r="J18" i="7"/>
  <c r="AX18" i="7"/>
  <c r="U17" i="7"/>
  <c r="V17" i="7"/>
  <c r="L10" i="7"/>
  <c r="M10" i="7"/>
  <c r="U25" i="7"/>
  <c r="V25" i="7"/>
  <c r="AM23" i="7"/>
  <c r="AN23" i="7"/>
  <c r="AX23" i="7"/>
  <c r="AP12" i="7"/>
  <c r="AQ12" i="7"/>
  <c r="R12" i="7"/>
  <c r="AY12" i="7" s="1"/>
  <c r="S12" i="7"/>
  <c r="AZ12" i="7" s="1"/>
  <c r="AZ11" i="7"/>
  <c r="U9" i="7"/>
  <c r="V9" i="7"/>
  <c r="V28" i="7"/>
  <c r="M24" i="7"/>
  <c r="AX22" i="7"/>
  <c r="AB22" i="7"/>
  <c r="AD21" i="7"/>
  <c r="I21" i="7"/>
  <c r="AY21" i="7" s="1"/>
  <c r="J21" i="7"/>
  <c r="AP20" i="7"/>
  <c r="AQ20" i="7"/>
  <c r="P18" i="7"/>
  <c r="AB17" i="7"/>
  <c r="AH16" i="7"/>
  <c r="AV14" i="7"/>
  <c r="AW14" i="7"/>
  <c r="AX13" i="7"/>
  <c r="G13" i="7"/>
  <c r="AA11" i="7"/>
  <c r="AY11" i="7" s="1"/>
  <c r="AB11" i="7"/>
  <c r="AV22" i="7"/>
  <c r="AW22" i="7"/>
  <c r="R20" i="7"/>
  <c r="S20" i="7"/>
  <c r="AZ20" i="7" s="1"/>
  <c r="AJ18" i="7"/>
  <c r="AK18" i="7"/>
  <c r="X14" i="7"/>
  <c r="Y14" i="7"/>
  <c r="AK37" i="7"/>
  <c r="M37" i="7"/>
  <c r="AT36" i="7"/>
  <c r="V36" i="7"/>
  <c r="AZ36" i="7" s="1"/>
  <c r="AE35" i="7"/>
  <c r="G35" i="7"/>
  <c r="AN34" i="7"/>
  <c r="P34" i="7"/>
  <c r="AW33" i="7"/>
  <c r="Y33" i="7"/>
  <c r="AH32" i="7"/>
  <c r="J32" i="7"/>
  <c r="AB30" i="7"/>
  <c r="S28" i="7"/>
  <c r="X22" i="7"/>
  <c r="Y22" i="7"/>
  <c r="AX21" i="7"/>
  <c r="G21" i="7"/>
  <c r="L18" i="7"/>
  <c r="M18" i="7"/>
  <c r="AD16" i="7"/>
  <c r="AE16" i="7"/>
  <c r="AJ28" i="7"/>
  <c r="AY28" i="7" s="1"/>
  <c r="AT26" i="7"/>
  <c r="AG26" i="7"/>
  <c r="L26" i="7"/>
  <c r="M26" i="7"/>
  <c r="Y25" i="7"/>
  <c r="AD24" i="7"/>
  <c r="AE24" i="7"/>
  <c r="AQ23" i="7"/>
  <c r="U22" i="7"/>
  <c r="AN21" i="7"/>
  <c r="AX20" i="7"/>
  <c r="P20" i="7"/>
  <c r="J19" i="7"/>
  <c r="I18" i="7"/>
  <c r="AS17" i="7"/>
  <c r="AT17" i="7"/>
  <c r="AX16" i="7"/>
  <c r="AA16" i="7"/>
  <c r="F16" i="7"/>
  <c r="G16" i="7"/>
  <c r="AJ10" i="7"/>
  <c r="AK10" i="7"/>
  <c r="AX9" i="7"/>
  <c r="AB9" i="7"/>
  <c r="AX26" i="7"/>
  <c r="X53" i="8"/>
  <c r="Y53" i="8"/>
  <c r="AS42" i="8"/>
  <c r="AT42" i="8"/>
  <c r="AA74" i="8"/>
  <c r="AX72" i="8"/>
  <c r="AQ71" i="8"/>
  <c r="AB70" i="8"/>
  <c r="AA69" i="8"/>
  <c r="AJ68" i="8"/>
  <c r="AA66" i="8"/>
  <c r="AX64" i="8"/>
  <c r="AB62" i="8"/>
  <c r="AA61" i="8"/>
  <c r="AJ60" i="8"/>
  <c r="AP58" i="8"/>
  <c r="AS56" i="8"/>
  <c r="AT56" i="8"/>
  <c r="AQ55" i="8"/>
  <c r="V53" i="8"/>
  <c r="AD52" i="8"/>
  <c r="O52" i="8"/>
  <c r="AD51" i="8"/>
  <c r="AE51" i="8"/>
  <c r="AG49" i="8"/>
  <c r="AD48" i="8"/>
  <c r="AW16" i="8"/>
  <c r="AV16" i="8"/>
  <c r="AW51" i="8"/>
  <c r="AV51" i="8"/>
  <c r="M75" i="8"/>
  <c r="AW74" i="8"/>
  <c r="AH73" i="8"/>
  <c r="AX73" i="8"/>
  <c r="P72" i="8"/>
  <c r="AN69" i="8"/>
  <c r="AW68" i="8"/>
  <c r="M67" i="8"/>
  <c r="AW66" i="8"/>
  <c r="AH65" i="8"/>
  <c r="AX65" i="8"/>
  <c r="P64" i="8"/>
  <c r="AN61" i="8"/>
  <c r="AW60" i="8"/>
  <c r="AX58" i="8"/>
  <c r="AQ56" i="8"/>
  <c r="O47" i="8"/>
  <c r="P47" i="8"/>
  <c r="I45" i="8"/>
  <c r="J45" i="8"/>
  <c r="R44" i="8"/>
  <c r="S44" i="8"/>
  <c r="AX44" i="8"/>
  <c r="AD43" i="8"/>
  <c r="AE43" i="8"/>
  <c r="AD37" i="8"/>
  <c r="AE37" i="8"/>
  <c r="I30" i="8"/>
  <c r="J30" i="8"/>
  <c r="R26" i="8"/>
  <c r="S26" i="8"/>
  <c r="AM19" i="8"/>
  <c r="AN19" i="8"/>
  <c r="O12" i="8"/>
  <c r="P12" i="8"/>
  <c r="AX11" i="8"/>
  <c r="R9" i="8"/>
  <c r="S9" i="8"/>
  <c r="X33" i="8"/>
  <c r="Y33" i="8"/>
  <c r="U75" i="8"/>
  <c r="AN74" i="8"/>
  <c r="Y73" i="8"/>
  <c r="X72" i="8"/>
  <c r="X69" i="8"/>
  <c r="AG68" i="8"/>
  <c r="U67" i="8"/>
  <c r="AN66" i="8"/>
  <c r="Y65" i="8"/>
  <c r="X64" i="8"/>
  <c r="X61" i="8"/>
  <c r="AG60" i="8"/>
  <c r="V58" i="8"/>
  <c r="I58" i="8"/>
  <c r="R57" i="8"/>
  <c r="J56" i="8"/>
  <c r="AN55" i="8"/>
  <c r="AA55" i="8"/>
  <c r="S53" i="8"/>
  <c r="AB52" i="8"/>
  <c r="L52" i="8"/>
  <c r="AP51" i="8"/>
  <c r="AQ51" i="8"/>
  <c r="AD49" i="8"/>
  <c r="AE49" i="8"/>
  <c r="AS48" i="8"/>
  <c r="AT48" i="8"/>
  <c r="P48" i="8"/>
  <c r="AV39" i="8"/>
  <c r="AW39" i="8"/>
  <c r="X39" i="8"/>
  <c r="Y39" i="8"/>
  <c r="AB21" i="8"/>
  <c r="AA21" i="8"/>
  <c r="AN17" i="8"/>
  <c r="AM17" i="8"/>
  <c r="AX14" i="8"/>
  <c r="G14" i="8"/>
  <c r="AP10" i="8"/>
  <c r="AQ10" i="8"/>
  <c r="AH75" i="8"/>
  <c r="AH67" i="8"/>
  <c r="AT61" i="8"/>
  <c r="AM54" i="8"/>
  <c r="AN54" i="8"/>
  <c r="V54" i="8"/>
  <c r="U54" i="8"/>
  <c r="AS49" i="8"/>
  <c r="AT49" i="8"/>
  <c r="U36" i="8"/>
  <c r="V36" i="8"/>
  <c r="L57" i="8"/>
  <c r="M57" i="8"/>
  <c r="R75" i="8"/>
  <c r="U72" i="8"/>
  <c r="AG71" i="8"/>
  <c r="R70" i="8"/>
  <c r="AK69" i="8"/>
  <c r="AT68" i="8"/>
  <c r="R67" i="8"/>
  <c r="U64" i="8"/>
  <c r="R62" i="8"/>
  <c r="AK61" i="8"/>
  <c r="AT60" i="8"/>
  <c r="F58" i="8"/>
  <c r="AM57" i="8"/>
  <c r="AM56" i="8"/>
  <c r="G56" i="8"/>
  <c r="AJ55" i="8"/>
  <c r="R54" i="8"/>
  <c r="AD12" i="8"/>
  <c r="AE12" i="8"/>
  <c r="AG9" i="8"/>
  <c r="AH9" i="8"/>
  <c r="AN75" i="8"/>
  <c r="V74" i="8"/>
  <c r="G73" i="8"/>
  <c r="AQ72" i="8"/>
  <c r="AT71" i="8"/>
  <c r="AE70" i="8"/>
  <c r="G68" i="8"/>
  <c r="AN67" i="8"/>
  <c r="V66" i="8"/>
  <c r="G65" i="8"/>
  <c r="AQ64" i="8"/>
  <c r="AE62" i="8"/>
  <c r="G60" i="8"/>
  <c r="AT58" i="8"/>
  <c r="AK58" i="8"/>
  <c r="F55" i="8"/>
  <c r="G55" i="8"/>
  <c r="AH54" i="8"/>
  <c r="AG54" i="8"/>
  <c r="AX54" i="8"/>
  <c r="AA53" i="8"/>
  <c r="V52" i="8"/>
  <c r="U51" i="8"/>
  <c r="V51" i="8"/>
  <c r="AM49" i="8"/>
  <c r="U49" i="8"/>
  <c r="AM47" i="8"/>
  <c r="AN47" i="8"/>
  <c r="AG45" i="8"/>
  <c r="AH45" i="8"/>
  <c r="AP44" i="8"/>
  <c r="AQ44" i="8"/>
  <c r="O39" i="8"/>
  <c r="P39" i="8"/>
  <c r="AV19" i="8"/>
  <c r="AW19" i="8"/>
  <c r="AE18" i="8"/>
  <c r="AD18" i="8"/>
  <c r="AE75" i="8"/>
  <c r="AD74" i="8"/>
  <c r="O73" i="8"/>
  <c r="AH72" i="8"/>
  <c r="AD71" i="8"/>
  <c r="O70" i="8"/>
  <c r="AE67" i="8"/>
  <c r="AD66" i="8"/>
  <c r="O65" i="8"/>
  <c r="AH64" i="8"/>
  <c r="O62" i="8"/>
  <c r="AV57" i="8"/>
  <c r="AK57" i="8"/>
  <c r="AV56" i="8"/>
  <c r="AH55" i="8"/>
  <c r="AW54" i="8"/>
  <c r="AH52" i="8"/>
  <c r="AA40" i="8"/>
  <c r="AB40" i="8"/>
  <c r="AG32" i="8"/>
  <c r="AH32" i="8"/>
  <c r="AX32" i="8"/>
  <c r="X28" i="8"/>
  <c r="Y28" i="8"/>
  <c r="AM21" i="8"/>
  <c r="AN21" i="8"/>
  <c r="G18" i="8"/>
  <c r="F18" i="8"/>
  <c r="L16" i="8"/>
  <c r="M16" i="8"/>
  <c r="AM13" i="8"/>
  <c r="AN13" i="8"/>
  <c r="AX45" i="8"/>
  <c r="AK43" i="8"/>
  <c r="AB43" i="8"/>
  <c r="AQ42" i="8"/>
  <c r="AT39" i="8"/>
  <c r="AH39" i="8"/>
  <c r="V39" i="8"/>
  <c r="AB37" i="8"/>
  <c r="S36" i="8"/>
  <c r="AW35" i="8"/>
  <c r="V33" i="8"/>
  <c r="AE32" i="8"/>
  <c r="Y26" i="8"/>
  <c r="M23" i="8"/>
  <c r="V22" i="8"/>
  <c r="Y21" i="8"/>
  <c r="AB18" i="8"/>
  <c r="AX17" i="8"/>
  <c r="AK17" i="8"/>
  <c r="AT16" i="8"/>
  <c r="AE14" i="8"/>
  <c r="P14" i="8"/>
  <c r="AW13" i="8"/>
  <c r="G13" i="8"/>
  <c r="AW11" i="8"/>
  <c r="J11" i="8"/>
  <c r="O43" i="8"/>
  <c r="G43" i="8"/>
  <c r="AA42" i="8"/>
  <c r="AN36" i="8"/>
  <c r="AT33" i="8"/>
  <c r="R28" i="8"/>
  <c r="L26" i="8"/>
  <c r="AX25" i="8"/>
  <c r="AG21" i="8"/>
  <c r="V13" i="8"/>
  <c r="Y12" i="8"/>
  <c r="AB9" i="8"/>
  <c r="J22" i="8"/>
  <c r="G21" i="8"/>
  <c r="P20" i="8"/>
  <c r="G20" i="8"/>
  <c r="AQ19" i="8"/>
  <c r="S17" i="8"/>
  <c r="J17" i="8"/>
  <c r="S16" i="8"/>
  <c r="AN14" i="8"/>
  <c r="AE13" i="8"/>
  <c r="S11" i="8"/>
  <c r="AH10" i="8"/>
  <c r="S52" i="8"/>
  <c r="J52" i="8"/>
  <c r="AK49" i="8"/>
  <c r="Y49" i="8"/>
  <c r="S47" i="8"/>
  <c r="AK45" i="8"/>
  <c r="M45" i="8"/>
  <c r="AT44" i="8"/>
  <c r="V44" i="8"/>
  <c r="AH43" i="8"/>
  <c r="M43" i="8"/>
  <c r="AV42" i="8"/>
  <c r="AN40" i="8"/>
  <c r="P40" i="8"/>
  <c r="AP39" i="8"/>
  <c r="AA39" i="8"/>
  <c r="S39" i="8"/>
  <c r="AQ37" i="8"/>
  <c r="AK36" i="8"/>
  <c r="P33" i="8"/>
  <c r="AA28" i="8"/>
  <c r="P28" i="8"/>
  <c r="U26" i="8"/>
  <c r="J26" i="8"/>
  <c r="V24" i="8"/>
  <c r="AE23" i="8"/>
  <c r="AE21" i="8"/>
  <c r="V21" i="8"/>
  <c r="AH18" i="8"/>
  <c r="Y18" i="8"/>
  <c r="J18" i="8"/>
  <c r="AQ17" i="8"/>
  <c r="AH17" i="8"/>
  <c r="AQ16" i="8"/>
  <c r="AB16" i="8"/>
  <c r="M14" i="8"/>
  <c r="AT13" i="8"/>
  <c r="AW12" i="8"/>
  <c r="AH12" i="8"/>
  <c r="AW10" i="8"/>
  <c r="AK9" i="8"/>
  <c r="M51" i="8"/>
  <c r="M49" i="8"/>
  <c r="V48" i="8"/>
  <c r="J48" i="8"/>
  <c r="AE47" i="8"/>
  <c r="G47" i="8"/>
  <c r="AB46" i="8"/>
  <c r="AW45" i="8"/>
  <c r="Y45" i="8"/>
  <c r="AH44" i="8"/>
  <c r="J44" i="8"/>
  <c r="V43" i="8"/>
  <c r="V42" i="8"/>
  <c r="AE40" i="8"/>
  <c r="AH37" i="8"/>
  <c r="S37" i="8"/>
  <c r="AT36" i="8"/>
  <c r="M36" i="8"/>
  <c r="AE35" i="8"/>
  <c r="G35" i="8"/>
  <c r="AQ34" i="8"/>
  <c r="S34" i="8"/>
  <c r="J32" i="8"/>
  <c r="AJ30" i="8"/>
  <c r="AB30" i="8"/>
  <c r="AS29" i="8"/>
  <c r="AK29" i="8"/>
  <c r="U29" i="8"/>
  <c r="M29" i="8"/>
  <c r="AB25" i="8"/>
  <c r="AQ24" i="8"/>
  <c r="V23" i="8"/>
  <c r="G23" i="8"/>
  <c r="AP22" i="8"/>
  <c r="P22" i="8"/>
  <c r="AQ21" i="8"/>
  <c r="AJ20" i="8"/>
  <c r="J9" i="8"/>
  <c r="AN46" i="8"/>
  <c r="P46" i="8"/>
  <c r="AP43" i="8"/>
  <c r="AN39" i="8"/>
  <c r="J37" i="8"/>
  <c r="AE34" i="8"/>
  <c r="AP32" i="8"/>
  <c r="O53" i="8"/>
  <c r="P53" i="8"/>
  <c r="AX71" i="8"/>
  <c r="AX56" i="8"/>
  <c r="L56" i="8"/>
  <c r="M56" i="8"/>
  <c r="L55" i="8"/>
  <c r="M53" i="8"/>
  <c r="AX52" i="8"/>
  <c r="AQ47" i="8"/>
  <c r="AS46" i="8"/>
  <c r="AT46" i="8"/>
  <c r="AP45" i="8"/>
  <c r="AQ45" i="8"/>
  <c r="R45" i="8"/>
  <c r="S45" i="8"/>
  <c r="AA44" i="8"/>
  <c r="AB44" i="8"/>
  <c r="AV40" i="8"/>
  <c r="AW40" i="8"/>
  <c r="AX70" i="8"/>
  <c r="AX62" i="8"/>
  <c r="AX55" i="8"/>
  <c r="U55" i="8"/>
  <c r="V55" i="8"/>
  <c r="AV52" i="8"/>
  <c r="AW52" i="8"/>
  <c r="AG51" i="8"/>
  <c r="AH51" i="8"/>
  <c r="F49" i="8"/>
  <c r="AX49" i="8"/>
  <c r="AG46" i="8"/>
  <c r="AH46" i="8"/>
  <c r="I46" i="8"/>
  <c r="J46" i="8"/>
  <c r="AX46" i="8"/>
  <c r="I39" i="8"/>
  <c r="J39" i="8"/>
  <c r="AX39" i="8"/>
  <c r="AV37" i="8"/>
  <c r="AW37" i="8"/>
  <c r="X35" i="8"/>
  <c r="Y35" i="8"/>
  <c r="AS30" i="8"/>
  <c r="AT30" i="8"/>
  <c r="AS26" i="8"/>
  <c r="AT26" i="8"/>
  <c r="AK74" i="8"/>
  <c r="AT73" i="8"/>
  <c r="V73" i="8"/>
  <c r="AE72" i="8"/>
  <c r="G72" i="8"/>
  <c r="AN71" i="8"/>
  <c r="P71" i="8"/>
  <c r="AW70" i="8"/>
  <c r="Y70" i="8"/>
  <c r="AX69" i="8"/>
  <c r="AH69" i="8"/>
  <c r="J69" i="8"/>
  <c r="AQ68" i="8"/>
  <c r="S68" i="8"/>
  <c r="AB67" i="8"/>
  <c r="AK66" i="8"/>
  <c r="M66" i="8"/>
  <c r="AT65" i="8"/>
  <c r="V65" i="8"/>
  <c r="AE64" i="8"/>
  <c r="G64" i="8"/>
  <c r="AW62" i="8"/>
  <c r="Y62" i="8"/>
  <c r="AX61" i="8"/>
  <c r="AH61" i="8"/>
  <c r="J61" i="8"/>
  <c r="AQ60" i="8"/>
  <c r="S60" i="8"/>
  <c r="R58" i="8"/>
  <c r="S58" i="8"/>
  <c r="S56" i="8"/>
  <c r="AW55" i="8"/>
  <c r="S55" i="8"/>
  <c r="J55" i="8"/>
  <c r="AX48" i="8"/>
  <c r="S40" i="8"/>
  <c r="R40" i="8"/>
  <c r="AX57" i="8"/>
  <c r="R49" i="8"/>
  <c r="S49" i="8"/>
  <c r="AB75" i="8"/>
  <c r="M74" i="8"/>
  <c r="M73" i="8"/>
  <c r="AX68" i="8"/>
  <c r="M65" i="8"/>
  <c r="AX60" i="8"/>
  <c r="AA57" i="8"/>
  <c r="AB57" i="8"/>
  <c r="AA56" i="8"/>
  <c r="AD54" i="8"/>
  <c r="AE54" i="8"/>
  <c r="X52" i="8"/>
  <c r="Y52" i="8"/>
  <c r="I51" i="8"/>
  <c r="J51" i="8"/>
  <c r="AN48" i="8"/>
  <c r="AA48" i="8"/>
  <c r="AB48" i="8"/>
  <c r="AM42" i="8"/>
  <c r="AN42" i="8"/>
  <c r="AX67" i="8"/>
  <c r="AJ56" i="8"/>
  <c r="AK56" i="8"/>
  <c r="F54" i="8"/>
  <c r="G54" i="8"/>
  <c r="I42" i="8"/>
  <c r="J42" i="8"/>
  <c r="AM33" i="8"/>
  <c r="AN33" i="8"/>
  <c r="Y75" i="8"/>
  <c r="AX74" i="8"/>
  <c r="AH74" i="8"/>
  <c r="J74" i="8"/>
  <c r="AQ73" i="8"/>
  <c r="S73" i="8"/>
  <c r="AB72" i="8"/>
  <c r="AK71" i="8"/>
  <c r="M71" i="8"/>
  <c r="AT70" i="8"/>
  <c r="V70" i="8"/>
  <c r="AE69" i="8"/>
  <c r="G69" i="8"/>
  <c r="AN68" i="8"/>
  <c r="P68" i="8"/>
  <c r="AW67" i="8"/>
  <c r="Y67" i="8"/>
  <c r="AX66" i="8"/>
  <c r="AH66" i="8"/>
  <c r="J66" i="8"/>
  <c r="AQ65" i="8"/>
  <c r="S65" i="8"/>
  <c r="AB64" i="8"/>
  <c r="AT62" i="8"/>
  <c r="V62" i="8"/>
  <c r="AE61" i="8"/>
  <c r="G61" i="8"/>
  <c r="AN60" i="8"/>
  <c r="P60" i="8"/>
  <c r="AH57" i="8"/>
  <c r="AH56" i="8"/>
  <c r="Y56" i="8"/>
  <c r="P56" i="8"/>
  <c r="AS55" i="8"/>
  <c r="AT55" i="8"/>
  <c r="AK54" i="8"/>
  <c r="F51" i="8"/>
  <c r="AX51" i="8"/>
  <c r="AJ47" i="8"/>
  <c r="AK47" i="8"/>
  <c r="AX42" i="8"/>
  <c r="AG36" i="8"/>
  <c r="AH36" i="8"/>
  <c r="F34" i="8"/>
  <c r="AX34" i="8"/>
  <c r="G34" i="8"/>
  <c r="AX75" i="8"/>
  <c r="AW75" i="8"/>
  <c r="AP57" i="8"/>
  <c r="AS54" i="8"/>
  <c r="AM53" i="8"/>
  <c r="AN53" i="8"/>
  <c r="AX53" i="8"/>
  <c r="G53" i="8"/>
  <c r="AP49" i="8"/>
  <c r="AQ49" i="8"/>
  <c r="AH48" i="8"/>
  <c r="Y47" i="8"/>
  <c r="AX47" i="8"/>
  <c r="L47" i="8"/>
  <c r="M47" i="8"/>
  <c r="AB49" i="8"/>
  <c r="AK48" i="8"/>
  <c r="M48" i="8"/>
  <c r="AT47" i="8"/>
  <c r="V47" i="8"/>
  <c r="AE46" i="8"/>
  <c r="G46" i="8"/>
  <c r="AN45" i="8"/>
  <c r="P45" i="8"/>
  <c r="AW44" i="8"/>
  <c r="Y44" i="8"/>
  <c r="AX43" i="8"/>
  <c r="AK42" i="8"/>
  <c r="G42" i="8"/>
  <c r="AS40" i="8"/>
  <c r="F39" i="8"/>
  <c r="G39" i="8"/>
  <c r="AS37" i="8"/>
  <c r="AD36" i="8"/>
  <c r="V35" i="8"/>
  <c r="X34" i="8"/>
  <c r="AW32" i="8"/>
  <c r="AA32" i="8"/>
  <c r="AB32" i="8"/>
  <c r="AQ30" i="8"/>
  <c r="U30" i="8"/>
  <c r="V30" i="8"/>
  <c r="AJ19" i="8"/>
  <c r="AK19" i="8"/>
  <c r="L10" i="8"/>
  <c r="M10" i="8"/>
  <c r="V46" i="8"/>
  <c r="AE45" i="8"/>
  <c r="G45" i="8"/>
  <c r="AN44" i="8"/>
  <c r="P44" i="8"/>
  <c r="AW43" i="8"/>
  <c r="AN43" i="8"/>
  <c r="X42" i="8"/>
  <c r="P42" i="8"/>
  <c r="F42" i="8"/>
  <c r="Y40" i="8"/>
  <c r="G40" i="8"/>
  <c r="AK39" i="8"/>
  <c r="X37" i="8"/>
  <c r="Y37" i="8"/>
  <c r="I36" i="8"/>
  <c r="J36" i="8"/>
  <c r="AG33" i="8"/>
  <c r="Y32" i="8"/>
  <c r="S30" i="8"/>
  <c r="AP28" i="8"/>
  <c r="AQ28" i="8"/>
  <c r="Y24" i="8"/>
  <c r="X24" i="8"/>
  <c r="F16" i="8"/>
  <c r="G16" i="8"/>
  <c r="AX16" i="8"/>
  <c r="AG13" i="8"/>
  <c r="AH13" i="8"/>
  <c r="F45" i="8"/>
  <c r="AH42" i="8"/>
  <c r="AP40" i="8"/>
  <c r="U37" i="8"/>
  <c r="AM35" i="8"/>
  <c r="AJ26" i="8"/>
  <c r="AK26" i="8"/>
  <c r="AN25" i="8"/>
  <c r="AM25" i="8"/>
  <c r="G36" i="8"/>
  <c r="AX36" i="8"/>
  <c r="J33" i="8"/>
  <c r="AX33" i="8"/>
  <c r="L25" i="8"/>
  <c r="M25" i="8"/>
  <c r="M42" i="8"/>
  <c r="AX40" i="8"/>
  <c r="U40" i="8"/>
  <c r="M39" i="8"/>
  <c r="P35" i="8"/>
  <c r="AX35" i="8"/>
  <c r="AG34" i="8"/>
  <c r="AH34" i="8"/>
  <c r="R32" i="8"/>
  <c r="AG28" i="8"/>
  <c r="AH28" i="8"/>
  <c r="AG24" i="8"/>
  <c r="AH24" i="8"/>
  <c r="AG22" i="8"/>
  <c r="AH22" i="8"/>
  <c r="I34" i="8"/>
  <c r="J34" i="8"/>
  <c r="AP33" i="8"/>
  <c r="AQ33" i="8"/>
  <c r="AX30" i="8"/>
  <c r="M30" i="8"/>
  <c r="AD29" i="8"/>
  <c r="AE29" i="8"/>
  <c r="F29" i="8"/>
  <c r="G29" i="8"/>
  <c r="AA26" i="8"/>
  <c r="AB26" i="8"/>
  <c r="AV25" i="8"/>
  <c r="AW25" i="8"/>
  <c r="AD39" i="8"/>
  <c r="AE39" i="8"/>
  <c r="AX37" i="8"/>
  <c r="R33" i="8"/>
  <c r="S33" i="8"/>
  <c r="AX29" i="8"/>
  <c r="AA29" i="8"/>
  <c r="AB29" i="8"/>
  <c r="AX28" i="8"/>
  <c r="U25" i="8"/>
  <c r="V25" i="8"/>
  <c r="R21" i="8"/>
  <c r="S21" i="8"/>
  <c r="AQ35" i="8"/>
  <c r="S35" i="8"/>
  <c r="AB34" i="8"/>
  <c r="AK33" i="8"/>
  <c r="M33" i="8"/>
  <c r="AT32" i="8"/>
  <c r="V32" i="8"/>
  <c r="AN30" i="8"/>
  <c r="P30" i="8"/>
  <c r="AW29" i="8"/>
  <c r="Y29" i="8"/>
  <c r="AW28" i="8"/>
  <c r="AN28" i="8"/>
  <c r="AQ26" i="8"/>
  <c r="AH26" i="8"/>
  <c r="AT25" i="8"/>
  <c r="AK25" i="8"/>
  <c r="AE24" i="8"/>
  <c r="AW23" i="8"/>
  <c r="I23" i="8"/>
  <c r="AE22" i="8"/>
  <c r="P21" i="8"/>
  <c r="AX20" i="8"/>
  <c r="AH19" i="8"/>
  <c r="L19" i="8"/>
  <c r="M19" i="8"/>
  <c r="AD16" i="8"/>
  <c r="AE16" i="8"/>
  <c r="AJ10" i="8"/>
  <c r="AK10" i="8"/>
  <c r="V28" i="8"/>
  <c r="L28" i="8"/>
  <c r="AX26" i="8"/>
  <c r="P26" i="8"/>
  <c r="F26" i="8"/>
  <c r="AV24" i="8"/>
  <c r="M24" i="8"/>
  <c r="R23" i="8"/>
  <c r="S23" i="8"/>
  <c r="R22" i="8"/>
  <c r="AJ21" i="8"/>
  <c r="AK21" i="8"/>
  <c r="AW20" i="8"/>
  <c r="AA20" i="8"/>
  <c r="AB20" i="8"/>
  <c r="X14" i="8"/>
  <c r="Y14" i="8"/>
  <c r="P23" i="8"/>
  <c r="AA22" i="8"/>
  <c r="AB22" i="8"/>
  <c r="R12" i="8"/>
  <c r="AX12" i="8"/>
  <c r="S12" i="8"/>
  <c r="AT28" i="8"/>
  <c r="AJ28" i="8"/>
  <c r="AN26" i="8"/>
  <c r="AD26" i="8"/>
  <c r="O25" i="8"/>
  <c r="G25" i="8"/>
  <c r="AT24" i="8"/>
  <c r="I24" i="8"/>
  <c r="J24" i="8"/>
  <c r="AT23" i="8"/>
  <c r="Y22" i="8"/>
  <c r="AX19" i="8"/>
  <c r="AA19" i="8"/>
  <c r="AB17" i="8"/>
  <c r="AV14" i="8"/>
  <c r="AW14" i="8"/>
  <c r="AA11" i="8"/>
  <c r="AY11" i="8" s="1"/>
  <c r="AB11" i="8"/>
  <c r="X25" i="8"/>
  <c r="Y25" i="8"/>
  <c r="F25" i="8"/>
  <c r="AG23" i="8"/>
  <c r="AX23" i="8"/>
  <c r="G22" i="8"/>
  <c r="J21" i="8"/>
  <c r="AX21" i="8"/>
  <c r="AP12" i="8"/>
  <c r="AQ12" i="8"/>
  <c r="U9" i="8"/>
  <c r="V9" i="8"/>
  <c r="AX9" i="8"/>
  <c r="AP23" i="8"/>
  <c r="AQ23" i="8"/>
  <c r="AJ18" i="8"/>
  <c r="AK18" i="8"/>
  <c r="L18" i="8"/>
  <c r="M18" i="8"/>
  <c r="I13" i="8"/>
  <c r="J13" i="8"/>
  <c r="AX13" i="8"/>
  <c r="AX24" i="8"/>
  <c r="AX22" i="8"/>
  <c r="AS17" i="8"/>
  <c r="AT17" i="8"/>
  <c r="U17" i="8"/>
  <c r="V17" i="8"/>
  <c r="AS9" i="8"/>
  <c r="AT9" i="8"/>
  <c r="AX18" i="8"/>
  <c r="F14" i="8"/>
  <c r="AX10" i="8"/>
  <c r="M21" i="8"/>
  <c r="AT20" i="8"/>
  <c r="V20" i="8"/>
  <c r="AE19" i="8"/>
  <c r="G19" i="8"/>
  <c r="AN18" i="8"/>
  <c r="P18" i="8"/>
  <c r="AW17" i="8"/>
  <c r="Y17" i="8"/>
  <c r="AH16" i="8"/>
  <c r="J16" i="8"/>
  <c r="AB14" i="8"/>
  <c r="AK13" i="8"/>
  <c r="M13" i="8"/>
  <c r="AT12" i="8"/>
  <c r="V12" i="8"/>
  <c r="AE11" i="8"/>
  <c r="G11" i="8"/>
  <c r="AN10" i="8"/>
  <c r="P10" i="8"/>
  <c r="AW9" i="8"/>
  <c r="Y9" i="8"/>
  <c r="Y16" i="8"/>
  <c r="AQ14" i="8"/>
  <c r="S14" i="8"/>
  <c r="AB13" i="8"/>
  <c r="AK12" i="8"/>
  <c r="M12" i="8"/>
  <c r="AT11" i="8"/>
  <c r="V11" i="8"/>
  <c r="AE10" i="8"/>
  <c r="G10" i="8"/>
  <c r="AN9" i="8"/>
  <c r="P9" i="8"/>
  <c r="AT18" i="8"/>
  <c r="V18" i="8"/>
  <c r="AE17" i="8"/>
  <c r="G17" i="8"/>
  <c r="AN16" i="8"/>
  <c r="P16" i="8"/>
  <c r="AH14" i="8"/>
  <c r="J14" i="8"/>
  <c r="AQ13" i="8"/>
  <c r="S13" i="8"/>
  <c r="AB12" i="8"/>
  <c r="AK11" i="8"/>
  <c r="M11" i="8"/>
  <c r="AT10" i="8"/>
  <c r="V10" i="8"/>
  <c r="AE9" i="8"/>
  <c r="G9" i="8"/>
  <c r="J75" i="2"/>
  <c r="R75" i="2"/>
  <c r="AP62" i="2"/>
  <c r="AV49" i="2"/>
  <c r="AT40" i="2"/>
  <c r="AB75" i="2"/>
  <c r="Y75" i="2"/>
  <c r="AN75" i="2"/>
  <c r="P75" i="2"/>
  <c r="G75" i="2"/>
  <c r="AH74" i="2"/>
  <c r="J74" i="2"/>
  <c r="AE73" i="2"/>
  <c r="G73" i="2"/>
  <c r="AB72" i="2"/>
  <c r="AW71" i="2"/>
  <c r="Y71" i="2"/>
  <c r="AT70" i="2"/>
  <c r="V70" i="2"/>
  <c r="AQ69" i="2"/>
  <c r="S69" i="2"/>
  <c r="J69" i="2"/>
  <c r="AN74" i="2"/>
  <c r="P74" i="2"/>
  <c r="AK73" i="2"/>
  <c r="M73" i="2"/>
  <c r="AH72" i="2"/>
  <c r="J72" i="2"/>
  <c r="AE71" i="2"/>
  <c r="G71" i="2"/>
  <c r="AB70" i="2"/>
  <c r="AW69" i="2"/>
  <c r="Y69" i="2"/>
  <c r="AX72" i="2"/>
  <c r="D72" i="4" s="1"/>
  <c r="V71" i="2"/>
  <c r="AQ70" i="2"/>
  <c r="S70" i="2"/>
  <c r="AN69" i="2"/>
  <c r="P69" i="2"/>
  <c r="AX70" i="2"/>
  <c r="AK74" i="2"/>
  <c r="M74" i="2"/>
  <c r="AH73" i="2"/>
  <c r="J73" i="2"/>
  <c r="AE72" i="2"/>
  <c r="G72" i="2"/>
  <c r="AB71" i="2"/>
  <c r="AW70" i="2"/>
  <c r="Y70" i="2"/>
  <c r="AT69" i="2"/>
  <c r="V69" i="2"/>
  <c r="AX74" i="2"/>
  <c r="D74" i="4" s="1"/>
  <c r="R77" i="5"/>
  <c r="R77" i="6"/>
  <c r="AW75" i="2"/>
  <c r="AQ64" i="2"/>
  <c r="AW64" i="2"/>
  <c r="AT64" i="2"/>
  <c r="AQ60" i="2"/>
  <c r="AT60" i="2"/>
  <c r="AS60" i="2"/>
  <c r="AW51" i="2"/>
  <c r="AP42" i="2"/>
  <c r="AT66" i="2"/>
  <c r="AT62" i="2"/>
  <c r="AT58" i="2"/>
  <c r="AT54" i="2"/>
  <c r="AT42" i="2"/>
  <c r="AT34" i="2"/>
  <c r="AT51" i="2"/>
  <c r="AT47" i="2"/>
  <c r="AT43" i="2"/>
  <c r="AT39" i="2"/>
  <c r="AT35" i="2"/>
  <c r="AT75" i="2"/>
  <c r="AX73" i="2"/>
  <c r="D73" i="4" s="1"/>
  <c r="AX69" i="2"/>
  <c r="D69" i="4" s="1"/>
  <c r="AT67" i="2"/>
  <c r="AX46" i="2"/>
  <c r="AX34" i="2"/>
  <c r="AQ67" i="2"/>
  <c r="AW66" i="2"/>
  <c r="AW62" i="2"/>
  <c r="AW58" i="2"/>
  <c r="AW54" i="2"/>
  <c r="AQ51" i="2"/>
  <c r="AQ47" i="2"/>
  <c r="AQ43" i="2"/>
  <c r="AW42" i="2"/>
  <c r="AQ39" i="2"/>
  <c r="AQ35" i="2"/>
  <c r="AW34" i="2"/>
  <c r="AX75" i="2"/>
  <c r="AX71" i="2"/>
  <c r="AX55" i="2"/>
  <c r="P14" i="2"/>
  <c r="AV14" i="2"/>
  <c r="AA14" i="2"/>
  <c r="AJ14" i="2"/>
  <c r="L14" i="2"/>
  <c r="V14" i="2"/>
  <c r="AK14" i="2"/>
  <c r="AD14" i="2"/>
  <c r="O14" i="2"/>
  <c r="AT14" i="2"/>
  <c r="AB14" i="2"/>
  <c r="M14" i="2"/>
  <c r="AM14" i="2"/>
  <c r="U14" i="2"/>
  <c r="F14" i="2"/>
  <c r="AQ14" i="2"/>
  <c r="AX14" i="2"/>
  <c r="AP14" i="2"/>
  <c r="AH14" i="2"/>
  <c r="R14" i="2"/>
  <c r="J14" i="2"/>
  <c r="AW14" i="2"/>
  <c r="AG14" i="2"/>
  <c r="I14" i="2"/>
  <c r="AN14" i="2"/>
  <c r="X14" i="2"/>
  <c r="AE14" i="2"/>
  <c r="G14" i="2"/>
  <c r="AS14" i="2"/>
  <c r="S14" i="2"/>
  <c r="Y14" i="2"/>
  <c r="A2" i="1"/>
  <c r="A2" i="2" s="1"/>
  <c r="A1" i="4"/>
  <c r="A1" i="7"/>
  <c r="A1" i="8"/>
  <c r="A1" i="2"/>
  <c r="A1" i="5"/>
  <c r="A1" i="6"/>
  <c r="AY48" i="8" l="1"/>
  <c r="AY67" i="8"/>
  <c r="AY73" i="8"/>
  <c r="AY61" i="8"/>
  <c r="AZ51" i="8"/>
  <c r="AY69" i="8"/>
  <c r="AY65" i="8"/>
  <c r="AY30" i="8"/>
  <c r="AY43" i="8"/>
  <c r="AY35" i="8"/>
  <c r="D71" i="4"/>
  <c r="D75" i="4"/>
  <c r="D55" i="4"/>
  <c r="AY75" i="8"/>
  <c r="AZ74" i="8"/>
  <c r="AY74" i="8"/>
  <c r="AZ14" i="8"/>
  <c r="AY34" i="2"/>
  <c r="AY32" i="8"/>
  <c r="D46" i="4"/>
  <c r="AY71" i="8"/>
  <c r="AY70" i="8"/>
  <c r="AY64" i="8"/>
  <c r="AY44" i="8"/>
  <c r="AY37" i="8"/>
  <c r="AY22" i="8"/>
  <c r="AY20" i="8"/>
  <c r="AY12" i="8"/>
  <c r="AY9" i="8"/>
  <c r="AY70" i="2"/>
  <c r="D34" i="4"/>
  <c r="D70" i="4"/>
  <c r="AY68" i="8"/>
  <c r="AY71" i="2"/>
  <c r="D37" i="4"/>
  <c r="E37" i="4" s="1"/>
  <c r="AY37" i="2"/>
  <c r="AY46" i="2"/>
  <c r="AY75" i="2"/>
  <c r="AY73" i="2"/>
  <c r="AY55" i="2"/>
  <c r="AY69" i="2"/>
  <c r="AY72" i="2"/>
  <c r="AY74" i="2"/>
  <c r="AZ74" i="2"/>
  <c r="AZ37" i="2"/>
  <c r="AY36" i="8"/>
  <c r="AZ46" i="8"/>
  <c r="AZ36" i="8"/>
  <c r="AZ66" i="8"/>
  <c r="BA66" i="8" s="1"/>
  <c r="AY60" i="8"/>
  <c r="AZ37" i="8"/>
  <c r="E74" i="4"/>
  <c r="AZ28" i="8"/>
  <c r="AZ44" i="8"/>
  <c r="AZ35" i="8"/>
  <c r="AZ20" i="8"/>
  <c r="BA20" i="8" s="1"/>
  <c r="AY57" i="8"/>
  <c r="E75" i="4"/>
  <c r="AY17" i="8"/>
  <c r="E73" i="4"/>
  <c r="AY25" i="8"/>
  <c r="AZ64" i="8"/>
  <c r="AZ43" i="8"/>
  <c r="AY62" i="8"/>
  <c r="AY72" i="8"/>
  <c r="AY20" i="7"/>
  <c r="AY14" i="7"/>
  <c r="AZ62" i="7"/>
  <c r="AY43" i="7"/>
  <c r="BA65" i="7"/>
  <c r="AY13" i="7"/>
  <c r="AY49" i="7"/>
  <c r="AZ60" i="7"/>
  <c r="AY67" i="7"/>
  <c r="AY46" i="7"/>
  <c r="AY26" i="7"/>
  <c r="BA12" i="7"/>
  <c r="AY25" i="7"/>
  <c r="BA25" i="7" s="1"/>
  <c r="AY24" i="7"/>
  <c r="AZ17" i="7"/>
  <c r="AY42" i="7"/>
  <c r="AY44" i="7"/>
  <c r="BA44" i="7" s="1"/>
  <c r="AZ73" i="7"/>
  <c r="BA73" i="7" s="1"/>
  <c r="AZ74" i="7"/>
  <c r="BA74" i="7" s="1"/>
  <c r="BA20" i="7"/>
  <c r="AY19" i="7"/>
  <c r="AY30" i="7"/>
  <c r="AY68" i="7"/>
  <c r="BA68" i="7" s="1"/>
  <c r="BA36" i="7"/>
  <c r="BA72" i="7"/>
  <c r="AZ64" i="7"/>
  <c r="BA64" i="7" s="1"/>
  <c r="AY22" i="7"/>
  <c r="AZ22" i="7"/>
  <c r="AZ18" i="7"/>
  <c r="AZ61" i="7"/>
  <c r="AY48" i="7"/>
  <c r="BA48" i="7" s="1"/>
  <c r="AZ32" i="7"/>
  <c r="AZ51" i="7"/>
  <c r="AY9" i="7"/>
  <c r="AZ71" i="7"/>
  <c r="BA71" i="7" s="1"/>
  <c r="AZ25" i="7"/>
  <c r="AZ45" i="7"/>
  <c r="BA45" i="7" s="1"/>
  <c r="AY70" i="7"/>
  <c r="BA70" i="7" s="1"/>
  <c r="AZ75" i="7"/>
  <c r="BA75" i="7" s="1"/>
  <c r="AZ13" i="7"/>
  <c r="BA13" i="7" s="1"/>
  <c r="AZ9" i="7"/>
  <c r="AY17" i="7"/>
  <c r="AZ30" i="7"/>
  <c r="BA30" i="7" s="1"/>
  <c r="AY54" i="7"/>
  <c r="AY34" i="7"/>
  <c r="AZ47" i="7"/>
  <c r="AZ39" i="7"/>
  <c r="BA39" i="7" s="1"/>
  <c r="AZ55" i="7"/>
  <c r="BA55" i="7" s="1"/>
  <c r="AY64" i="7"/>
  <c r="AZ46" i="2"/>
  <c r="AZ70" i="2"/>
  <c r="AZ73" i="2"/>
  <c r="BA22" i="7"/>
  <c r="BA9" i="7"/>
  <c r="BA17" i="7"/>
  <c r="BA62" i="7"/>
  <c r="AZ16" i="7"/>
  <c r="AZ26" i="7"/>
  <c r="BA26" i="7" s="1"/>
  <c r="AZ14" i="7"/>
  <c r="BA14" i="7" s="1"/>
  <c r="AZ33" i="7"/>
  <c r="AZ42" i="7"/>
  <c r="BA42" i="7" s="1"/>
  <c r="AY23" i="7"/>
  <c r="BA23" i="7" s="1"/>
  <c r="AY60" i="7"/>
  <c r="AY16" i="7"/>
  <c r="AY33" i="7"/>
  <c r="AY10" i="7"/>
  <c r="AZ54" i="7"/>
  <c r="BA54" i="7" s="1"/>
  <c r="AZ40" i="7"/>
  <c r="BA40" i="7" s="1"/>
  <c r="AY37" i="7"/>
  <c r="AZ58" i="7"/>
  <c r="AZ35" i="7"/>
  <c r="AZ24" i="7"/>
  <c r="BA24" i="7" s="1"/>
  <c r="AY58" i="7"/>
  <c r="AY47" i="7"/>
  <c r="BA47" i="7" s="1"/>
  <c r="AZ21" i="7"/>
  <c r="BA21" i="7" s="1"/>
  <c r="BA11" i="7"/>
  <c r="AZ10" i="7"/>
  <c r="BA10" i="7" s="1"/>
  <c r="AZ46" i="7"/>
  <c r="BA46" i="7" s="1"/>
  <c r="AY35" i="7"/>
  <c r="BA51" i="7"/>
  <c r="AZ69" i="7"/>
  <c r="BA69" i="7" s="1"/>
  <c r="AZ34" i="7"/>
  <c r="BA34" i="7" s="1"/>
  <c r="AZ37" i="7"/>
  <c r="BA37" i="7" s="1"/>
  <c r="AZ43" i="7"/>
  <c r="BA43" i="7" s="1"/>
  <c r="BA61" i="7"/>
  <c r="AZ28" i="7"/>
  <c r="BA28" i="7" s="1"/>
  <c r="AZ29" i="7"/>
  <c r="AZ66" i="7"/>
  <c r="BA66" i="7" s="1"/>
  <c r="AZ52" i="7"/>
  <c r="BA52" i="7" s="1"/>
  <c r="AZ53" i="7"/>
  <c r="BA53" i="7" s="1"/>
  <c r="AY29" i="7"/>
  <c r="AY66" i="7"/>
  <c r="AY18" i="7"/>
  <c r="BA18" i="7" s="1"/>
  <c r="AZ19" i="7"/>
  <c r="AZ49" i="7"/>
  <c r="BA49" i="7" s="1"/>
  <c r="AZ67" i="7"/>
  <c r="BA67" i="7" s="1"/>
  <c r="AY32" i="7"/>
  <c r="BA32" i="7" s="1"/>
  <c r="AZ57" i="8"/>
  <c r="AY18" i="8"/>
  <c r="AY26" i="8"/>
  <c r="AY23" i="8"/>
  <c r="AY33" i="8"/>
  <c r="AY47" i="8"/>
  <c r="AZ67" i="8"/>
  <c r="AZ71" i="8"/>
  <c r="AZ75" i="8"/>
  <c r="BA75" i="8" s="1"/>
  <c r="AZ47" i="8"/>
  <c r="AZ22" i="8"/>
  <c r="AZ26" i="8"/>
  <c r="AY39" i="8"/>
  <c r="AZ48" i="8"/>
  <c r="BA48" i="8" s="1"/>
  <c r="AY53" i="8"/>
  <c r="AZ58" i="8"/>
  <c r="AZ23" i="8"/>
  <c r="AZ52" i="8"/>
  <c r="AY58" i="8"/>
  <c r="AY46" i="8"/>
  <c r="AZ49" i="8"/>
  <c r="AZ19" i="8"/>
  <c r="AY24" i="8"/>
  <c r="AY28" i="8"/>
  <c r="AZ32" i="8"/>
  <c r="AY21" i="8"/>
  <c r="AY29" i="8"/>
  <c r="AY40" i="8"/>
  <c r="AZ56" i="8"/>
  <c r="AY52" i="8"/>
  <c r="AY55" i="8"/>
  <c r="AY49" i="8"/>
  <c r="AZ55" i="8"/>
  <c r="AZ60" i="8"/>
  <c r="AZ68" i="8"/>
  <c r="AZ72" i="8"/>
  <c r="AZ13" i="8"/>
  <c r="AZ17" i="8"/>
  <c r="AZ12" i="8"/>
  <c r="AY13" i="8"/>
  <c r="AZ21" i="8"/>
  <c r="AZ30" i="8"/>
  <c r="AZ45" i="8"/>
  <c r="AZ53" i="8"/>
  <c r="AZ62" i="8"/>
  <c r="AZ70" i="8"/>
  <c r="AY54" i="8"/>
  <c r="AZ9" i="8"/>
  <c r="AY16" i="8"/>
  <c r="AY42" i="8"/>
  <c r="AZ42" i="8"/>
  <c r="AZ65" i="8"/>
  <c r="BA65" i="8" s="1"/>
  <c r="AZ18" i="8"/>
  <c r="AZ25" i="8"/>
  <c r="AY56" i="8"/>
  <c r="AY14" i="8"/>
  <c r="AY19" i="8"/>
  <c r="AY45" i="8"/>
  <c r="AZ73" i="8"/>
  <c r="BA73" i="8" s="1"/>
  <c r="AZ29" i="8"/>
  <c r="AY10" i="8"/>
  <c r="AZ39" i="8"/>
  <c r="AZ61" i="8"/>
  <c r="BA61" i="8" s="1"/>
  <c r="AZ69" i="8"/>
  <c r="BA69" i="8" s="1"/>
  <c r="AZ16" i="8"/>
  <c r="AZ40" i="8"/>
  <c r="AZ34" i="8"/>
  <c r="AZ10" i="8"/>
  <c r="AZ33" i="8"/>
  <c r="AZ11" i="8"/>
  <c r="BA11" i="8" s="1"/>
  <c r="AZ24" i="8"/>
  <c r="AY34" i="8"/>
  <c r="AY51" i="8"/>
  <c r="BA51" i="8" s="1"/>
  <c r="AZ54" i="8"/>
  <c r="AZ75" i="2"/>
  <c r="AZ72" i="2"/>
  <c r="AZ69" i="2"/>
  <c r="AZ55" i="2"/>
  <c r="AZ71" i="2"/>
  <c r="AZ34" i="2"/>
  <c r="AY14" i="2"/>
  <c r="D14" i="4"/>
  <c r="E14" i="4" s="1"/>
  <c r="AZ14" i="2"/>
  <c r="AU8" i="7"/>
  <c r="AR8" i="7"/>
  <c r="AO8" i="7"/>
  <c r="AL8" i="7"/>
  <c r="AI8" i="7"/>
  <c r="AF8" i="7"/>
  <c r="AC8" i="7"/>
  <c r="Z8" i="7"/>
  <c r="W8" i="7"/>
  <c r="T8" i="7"/>
  <c r="Q8" i="7"/>
  <c r="N8" i="7"/>
  <c r="K8" i="7"/>
  <c r="H8" i="7"/>
  <c r="E8" i="7"/>
  <c r="AU5" i="7"/>
  <c r="AR5" i="7"/>
  <c r="AO5" i="7"/>
  <c r="AL5" i="7"/>
  <c r="AI5" i="7"/>
  <c r="AF5" i="7"/>
  <c r="AC5" i="7"/>
  <c r="Z5" i="7"/>
  <c r="W5" i="7"/>
  <c r="T5" i="7"/>
  <c r="Q5" i="7"/>
  <c r="N5" i="7"/>
  <c r="K5" i="7"/>
  <c r="H5" i="7"/>
  <c r="E5" i="7"/>
  <c r="AU8" i="8"/>
  <c r="AR8" i="8"/>
  <c r="AO8" i="8"/>
  <c r="AL8" i="8"/>
  <c r="AI8" i="8"/>
  <c r="AF8" i="8"/>
  <c r="AC8" i="8"/>
  <c r="Z8" i="8"/>
  <c r="W8" i="8"/>
  <c r="T8" i="8"/>
  <c r="Q8" i="8"/>
  <c r="N8" i="8"/>
  <c r="K8" i="8"/>
  <c r="H8" i="8"/>
  <c r="E8" i="8"/>
  <c r="AU5" i="8"/>
  <c r="AR5" i="8"/>
  <c r="AO5" i="8"/>
  <c r="AL5" i="8"/>
  <c r="AI5" i="8"/>
  <c r="AF5" i="8"/>
  <c r="AC5" i="8"/>
  <c r="Z5" i="8"/>
  <c r="W5" i="8"/>
  <c r="T5" i="8"/>
  <c r="Q5" i="8"/>
  <c r="N5" i="8"/>
  <c r="K5" i="8"/>
  <c r="H5" i="8"/>
  <c r="E5" i="8"/>
  <c r="A77" i="8"/>
  <c r="AB8" i="8"/>
  <c r="A2" i="8"/>
  <c r="A77" i="7"/>
  <c r="AN8" i="7"/>
  <c r="AP8" i="7"/>
  <c r="A2" i="7"/>
  <c r="AI9" i="2"/>
  <c r="AI10" i="2"/>
  <c r="AI11" i="2"/>
  <c r="AI12" i="2"/>
  <c r="AI13" i="2"/>
  <c r="AI16" i="2"/>
  <c r="AI17" i="2"/>
  <c r="AI18" i="2"/>
  <c r="AI19" i="2"/>
  <c r="AI20" i="2"/>
  <c r="AI21" i="2"/>
  <c r="AI22" i="2"/>
  <c r="AI23" i="2"/>
  <c r="AI24" i="2"/>
  <c r="AI25" i="2"/>
  <c r="AI26" i="2"/>
  <c r="AI28" i="2"/>
  <c r="AI29" i="2"/>
  <c r="AI30" i="2"/>
  <c r="AI32" i="2"/>
  <c r="AI33" i="2"/>
  <c r="AI35" i="2"/>
  <c r="AI36" i="2"/>
  <c r="AI39" i="2"/>
  <c r="AI40" i="2"/>
  <c r="AI42" i="2"/>
  <c r="AI43" i="2"/>
  <c r="AI44" i="2"/>
  <c r="AI45" i="2"/>
  <c r="AI47" i="2"/>
  <c r="AI48" i="2"/>
  <c r="AI49" i="2"/>
  <c r="AI51" i="2"/>
  <c r="AI52" i="2"/>
  <c r="AI53" i="2"/>
  <c r="AI54" i="2"/>
  <c r="AI56" i="2"/>
  <c r="AI57" i="2"/>
  <c r="AI58" i="2"/>
  <c r="AI60" i="2"/>
  <c r="AI61" i="2"/>
  <c r="AI62" i="2"/>
  <c r="AI64" i="2"/>
  <c r="AI65" i="2"/>
  <c r="AI66" i="2"/>
  <c r="AI67" i="2"/>
  <c r="AI68" i="2"/>
  <c r="AF9" i="2"/>
  <c r="AF10" i="2"/>
  <c r="AF11" i="2"/>
  <c r="AF12" i="2"/>
  <c r="AF13" i="2"/>
  <c r="AF16" i="2"/>
  <c r="AF17" i="2"/>
  <c r="AF18" i="2"/>
  <c r="AF19" i="2"/>
  <c r="AF20" i="2"/>
  <c r="AF21" i="2"/>
  <c r="AF22" i="2"/>
  <c r="AF23" i="2"/>
  <c r="AF24" i="2"/>
  <c r="AF25" i="2"/>
  <c r="AF26" i="2"/>
  <c r="AF28" i="2"/>
  <c r="AF29" i="2"/>
  <c r="AF30" i="2"/>
  <c r="AF32" i="2"/>
  <c r="AF33" i="2"/>
  <c r="AF35" i="2"/>
  <c r="AF36" i="2"/>
  <c r="AF39" i="2"/>
  <c r="AF40" i="2"/>
  <c r="AF42" i="2"/>
  <c r="AF43" i="2"/>
  <c r="AF44" i="2"/>
  <c r="AF45" i="2"/>
  <c r="AF47" i="2"/>
  <c r="AF48" i="2"/>
  <c r="AF49" i="2"/>
  <c r="AF51" i="2"/>
  <c r="AF52" i="2"/>
  <c r="AF53" i="2"/>
  <c r="AF54" i="2"/>
  <c r="AF56" i="2"/>
  <c r="AF57" i="2"/>
  <c r="AF58" i="2"/>
  <c r="AF60" i="2"/>
  <c r="AF61" i="2"/>
  <c r="AF62" i="2"/>
  <c r="AF64" i="2"/>
  <c r="AF65" i="2"/>
  <c r="AF66" i="2"/>
  <c r="AF67" i="2"/>
  <c r="AF68" i="2"/>
  <c r="AC9" i="2"/>
  <c r="AC10" i="2"/>
  <c r="AC11" i="2"/>
  <c r="AC12" i="2"/>
  <c r="AC13" i="2"/>
  <c r="AC16" i="2"/>
  <c r="AC17" i="2"/>
  <c r="AC18" i="2"/>
  <c r="AC19" i="2"/>
  <c r="AC20" i="2"/>
  <c r="AC21" i="2"/>
  <c r="AC22" i="2"/>
  <c r="AC23" i="2"/>
  <c r="AC24" i="2"/>
  <c r="AC25" i="2"/>
  <c r="AC26" i="2"/>
  <c r="AC28" i="2"/>
  <c r="AC29" i="2"/>
  <c r="AC30" i="2"/>
  <c r="AC32" i="2"/>
  <c r="AC33" i="2"/>
  <c r="AC35" i="2"/>
  <c r="AC36" i="2"/>
  <c r="AC39" i="2"/>
  <c r="AC40" i="2"/>
  <c r="AC42" i="2"/>
  <c r="AC43" i="2"/>
  <c r="AC44" i="2"/>
  <c r="AC45" i="2"/>
  <c r="AC47" i="2"/>
  <c r="AC48" i="2"/>
  <c r="AC49" i="2"/>
  <c r="AC51" i="2"/>
  <c r="AC52" i="2"/>
  <c r="AC53" i="2"/>
  <c r="AC54" i="2"/>
  <c r="AC56" i="2"/>
  <c r="AC57" i="2"/>
  <c r="AC58" i="2"/>
  <c r="AC60" i="2"/>
  <c r="AC61" i="2"/>
  <c r="AC62" i="2"/>
  <c r="AC64" i="2"/>
  <c r="AC65" i="2"/>
  <c r="AC66" i="2"/>
  <c r="AC67" i="2"/>
  <c r="AC68" i="2"/>
  <c r="Z9" i="2"/>
  <c r="Z10" i="2"/>
  <c r="Z11" i="2"/>
  <c r="Z12" i="2"/>
  <c r="Z13" i="2"/>
  <c r="Z16" i="2"/>
  <c r="Z17" i="2"/>
  <c r="Z18" i="2"/>
  <c r="Z19" i="2"/>
  <c r="Z20" i="2"/>
  <c r="Z21" i="2"/>
  <c r="Z22" i="2"/>
  <c r="Z23" i="2"/>
  <c r="Z24" i="2"/>
  <c r="Z25" i="2"/>
  <c r="Z26" i="2"/>
  <c r="Z28" i="2"/>
  <c r="Z29" i="2"/>
  <c r="Z30" i="2"/>
  <c r="Z32" i="2"/>
  <c r="Z33" i="2"/>
  <c r="Z35" i="2"/>
  <c r="Z36" i="2"/>
  <c r="Z39" i="2"/>
  <c r="Z40" i="2"/>
  <c r="Z42" i="2"/>
  <c r="Z43" i="2"/>
  <c r="Z44" i="2"/>
  <c r="Z45" i="2"/>
  <c r="Z47" i="2"/>
  <c r="Z51" i="2"/>
  <c r="Z52" i="2"/>
  <c r="Z53" i="2"/>
  <c r="Z54" i="2"/>
  <c r="Z56" i="2"/>
  <c r="Z57" i="2"/>
  <c r="Z58" i="2"/>
  <c r="Z60" i="2"/>
  <c r="Z61" i="2"/>
  <c r="Z62" i="2"/>
  <c r="Z64" i="2"/>
  <c r="Z65" i="2"/>
  <c r="Z66" i="2"/>
  <c r="Z67" i="2"/>
  <c r="Z68" i="2"/>
  <c r="W9" i="2"/>
  <c r="W10" i="2"/>
  <c r="W11" i="2"/>
  <c r="W12" i="2"/>
  <c r="W13" i="2"/>
  <c r="W16" i="2"/>
  <c r="W17" i="2"/>
  <c r="W18" i="2"/>
  <c r="W19" i="2"/>
  <c r="W20" i="2"/>
  <c r="W21" i="2"/>
  <c r="W22" i="2"/>
  <c r="W23" i="2"/>
  <c r="W24" i="2"/>
  <c r="W25" i="2"/>
  <c r="W26" i="2"/>
  <c r="W28" i="2"/>
  <c r="W29" i="2"/>
  <c r="W30" i="2"/>
  <c r="W32" i="2"/>
  <c r="W33" i="2"/>
  <c r="W35" i="2"/>
  <c r="W36" i="2"/>
  <c r="W39" i="2"/>
  <c r="W40" i="2"/>
  <c r="W42" i="2"/>
  <c r="W43" i="2"/>
  <c r="W44" i="2"/>
  <c r="W45" i="2"/>
  <c r="W47" i="2"/>
  <c r="W48" i="2"/>
  <c r="W49" i="2"/>
  <c r="W51" i="2"/>
  <c r="W52" i="2"/>
  <c r="W53" i="2"/>
  <c r="W54" i="2"/>
  <c r="W56" i="2"/>
  <c r="W57" i="2"/>
  <c r="W58" i="2"/>
  <c r="W60" i="2"/>
  <c r="W61" i="2"/>
  <c r="W62" i="2"/>
  <c r="W64" i="2"/>
  <c r="W65" i="2"/>
  <c r="W66" i="2"/>
  <c r="W67" i="2"/>
  <c r="W68" i="2"/>
  <c r="T9" i="2"/>
  <c r="T10" i="2"/>
  <c r="T11" i="2"/>
  <c r="T12" i="2"/>
  <c r="T13" i="2"/>
  <c r="T16" i="2"/>
  <c r="T17" i="2"/>
  <c r="T18" i="2"/>
  <c r="T19" i="2"/>
  <c r="T20" i="2"/>
  <c r="T21" i="2"/>
  <c r="T22" i="2"/>
  <c r="T23" i="2"/>
  <c r="T24" i="2"/>
  <c r="T25" i="2"/>
  <c r="T26" i="2"/>
  <c r="T28" i="2"/>
  <c r="T29" i="2"/>
  <c r="T30" i="2"/>
  <c r="T32" i="2"/>
  <c r="T33" i="2"/>
  <c r="T35" i="2"/>
  <c r="T36" i="2"/>
  <c r="T39" i="2"/>
  <c r="T40" i="2"/>
  <c r="T42" i="2"/>
  <c r="T43" i="2"/>
  <c r="T44" i="2"/>
  <c r="T45" i="2"/>
  <c r="T47" i="2"/>
  <c r="T48" i="2"/>
  <c r="T49" i="2"/>
  <c r="T51" i="2"/>
  <c r="T52" i="2"/>
  <c r="T53" i="2"/>
  <c r="T54" i="2"/>
  <c r="T56" i="2"/>
  <c r="T57" i="2"/>
  <c r="T58" i="2"/>
  <c r="T60" i="2"/>
  <c r="T61" i="2"/>
  <c r="T62" i="2"/>
  <c r="T64" i="2"/>
  <c r="T65" i="2"/>
  <c r="T66" i="2"/>
  <c r="T67" i="2"/>
  <c r="T68" i="2"/>
  <c r="Q9" i="2"/>
  <c r="Q10" i="2"/>
  <c r="Q11" i="2"/>
  <c r="Q12" i="2"/>
  <c r="Q13" i="2"/>
  <c r="Q16" i="2"/>
  <c r="Q17" i="2"/>
  <c r="Q18" i="2"/>
  <c r="Q19" i="2"/>
  <c r="Q20" i="2"/>
  <c r="Q21" i="2"/>
  <c r="Q22" i="2"/>
  <c r="Q23" i="2"/>
  <c r="Q24" i="2"/>
  <c r="Q25" i="2"/>
  <c r="Q26" i="2"/>
  <c r="Q28" i="2"/>
  <c r="Q29" i="2"/>
  <c r="Q30" i="2"/>
  <c r="Q32" i="2"/>
  <c r="Q33" i="2"/>
  <c r="Q35" i="2"/>
  <c r="Q36" i="2"/>
  <c r="Q39" i="2"/>
  <c r="Q40" i="2"/>
  <c r="Q42" i="2"/>
  <c r="Q43" i="2"/>
  <c r="Q44" i="2"/>
  <c r="Q45" i="2"/>
  <c r="Q47" i="2"/>
  <c r="Q48" i="2"/>
  <c r="Q49" i="2"/>
  <c r="Q51" i="2"/>
  <c r="Q52" i="2"/>
  <c r="Q53" i="2"/>
  <c r="Q54" i="2"/>
  <c r="Q56" i="2"/>
  <c r="Q57" i="2"/>
  <c r="Q58" i="2"/>
  <c r="Q60" i="2"/>
  <c r="Q61" i="2"/>
  <c r="Q62" i="2"/>
  <c r="Q64" i="2"/>
  <c r="Q65" i="2"/>
  <c r="Q66" i="2"/>
  <c r="Q67" i="2"/>
  <c r="Q68" i="2"/>
  <c r="N9" i="2"/>
  <c r="N10" i="2"/>
  <c r="N11" i="2"/>
  <c r="N12" i="2"/>
  <c r="N13" i="2"/>
  <c r="N16" i="2"/>
  <c r="N17" i="2"/>
  <c r="N18" i="2"/>
  <c r="N19" i="2"/>
  <c r="N20" i="2"/>
  <c r="N21" i="2"/>
  <c r="N22" i="2"/>
  <c r="N23" i="2"/>
  <c r="N24" i="2"/>
  <c r="N25" i="2"/>
  <c r="N26" i="2"/>
  <c r="N28" i="2"/>
  <c r="N29" i="2"/>
  <c r="N30" i="2"/>
  <c r="N32" i="2"/>
  <c r="N33" i="2"/>
  <c r="N35" i="2"/>
  <c r="N36" i="2"/>
  <c r="N39" i="2"/>
  <c r="N40" i="2"/>
  <c r="N42" i="2"/>
  <c r="N43" i="2"/>
  <c r="N44" i="2"/>
  <c r="N45" i="2"/>
  <c r="N47" i="2"/>
  <c r="N48" i="2"/>
  <c r="N49" i="2"/>
  <c r="N51" i="2"/>
  <c r="N52" i="2"/>
  <c r="N53" i="2"/>
  <c r="N54" i="2"/>
  <c r="N56" i="2"/>
  <c r="N57" i="2"/>
  <c r="N58" i="2"/>
  <c r="N60" i="2"/>
  <c r="N61" i="2"/>
  <c r="N62" i="2"/>
  <c r="N64" i="2"/>
  <c r="N65" i="2"/>
  <c r="N66" i="2"/>
  <c r="N67" i="2"/>
  <c r="N68" i="2"/>
  <c r="K9" i="2"/>
  <c r="K10" i="2"/>
  <c r="K11" i="2"/>
  <c r="K12" i="2"/>
  <c r="K13" i="2"/>
  <c r="K16" i="2"/>
  <c r="K17" i="2"/>
  <c r="K18" i="2"/>
  <c r="K19" i="2"/>
  <c r="K20" i="2"/>
  <c r="K21" i="2"/>
  <c r="K22" i="2"/>
  <c r="K23" i="2"/>
  <c r="K24" i="2"/>
  <c r="K25" i="2"/>
  <c r="K26" i="2"/>
  <c r="K28" i="2"/>
  <c r="K29" i="2"/>
  <c r="K30" i="2"/>
  <c r="K32" i="2"/>
  <c r="K33" i="2"/>
  <c r="K35" i="2"/>
  <c r="K36" i="2"/>
  <c r="K39" i="2"/>
  <c r="K40" i="2"/>
  <c r="K42" i="2"/>
  <c r="K43" i="2"/>
  <c r="K44" i="2"/>
  <c r="K45" i="2"/>
  <c r="K47" i="2"/>
  <c r="K48" i="2"/>
  <c r="K49" i="2"/>
  <c r="K51" i="2"/>
  <c r="K52" i="2"/>
  <c r="K53" i="2"/>
  <c r="K54" i="2"/>
  <c r="K56" i="2"/>
  <c r="K57" i="2"/>
  <c r="K58" i="2"/>
  <c r="K60" i="2"/>
  <c r="K61" i="2"/>
  <c r="K62" i="2"/>
  <c r="K64" i="2"/>
  <c r="K65" i="2"/>
  <c r="K66" i="2"/>
  <c r="K67" i="2"/>
  <c r="K68" i="2"/>
  <c r="H9" i="2"/>
  <c r="H10" i="2"/>
  <c r="H11" i="2"/>
  <c r="H12" i="2"/>
  <c r="H13" i="2"/>
  <c r="H16" i="2"/>
  <c r="H17" i="2"/>
  <c r="H18" i="2"/>
  <c r="H19" i="2"/>
  <c r="H20" i="2"/>
  <c r="H21" i="2"/>
  <c r="H22" i="2"/>
  <c r="H23" i="2"/>
  <c r="H24" i="2"/>
  <c r="H25" i="2"/>
  <c r="H26" i="2"/>
  <c r="H28" i="2"/>
  <c r="H29" i="2"/>
  <c r="H30" i="2"/>
  <c r="H32" i="2"/>
  <c r="H33" i="2"/>
  <c r="H35" i="2"/>
  <c r="H36" i="2"/>
  <c r="H39" i="2"/>
  <c r="H40" i="2"/>
  <c r="H42" i="2"/>
  <c r="H43" i="2"/>
  <c r="H44" i="2"/>
  <c r="H45" i="2"/>
  <c r="H47" i="2"/>
  <c r="H48" i="2"/>
  <c r="H49" i="2"/>
  <c r="H51" i="2"/>
  <c r="H52" i="2"/>
  <c r="H53" i="2"/>
  <c r="H54" i="2"/>
  <c r="H56" i="2"/>
  <c r="H57" i="2"/>
  <c r="H58" i="2"/>
  <c r="H60" i="2"/>
  <c r="H61" i="2"/>
  <c r="H62" i="2"/>
  <c r="H64" i="2"/>
  <c r="H65" i="2"/>
  <c r="H66" i="2"/>
  <c r="H67" i="2"/>
  <c r="H68" i="2"/>
  <c r="E9" i="2"/>
  <c r="E10" i="2"/>
  <c r="E11" i="2"/>
  <c r="E12" i="2"/>
  <c r="E13" i="2"/>
  <c r="E16" i="2"/>
  <c r="E17" i="2"/>
  <c r="E18" i="2"/>
  <c r="E19" i="2"/>
  <c r="E20" i="2"/>
  <c r="E21" i="2"/>
  <c r="E22" i="2"/>
  <c r="E23" i="2"/>
  <c r="E24" i="2"/>
  <c r="E25" i="2"/>
  <c r="E26" i="2"/>
  <c r="E28" i="2"/>
  <c r="E29" i="2"/>
  <c r="E30" i="2"/>
  <c r="E32" i="2"/>
  <c r="E33" i="2"/>
  <c r="E35" i="2"/>
  <c r="E36" i="2"/>
  <c r="E39" i="2"/>
  <c r="E40" i="2"/>
  <c r="E42" i="2"/>
  <c r="E43" i="2"/>
  <c r="E44" i="2"/>
  <c r="E45" i="2"/>
  <c r="E47" i="2"/>
  <c r="E48" i="2"/>
  <c r="E49" i="2"/>
  <c r="E51" i="2"/>
  <c r="E52" i="2"/>
  <c r="E53" i="2"/>
  <c r="E54" i="2"/>
  <c r="E56" i="2"/>
  <c r="E57" i="2"/>
  <c r="E58" i="2"/>
  <c r="E60" i="2"/>
  <c r="E61" i="2"/>
  <c r="E62" i="2"/>
  <c r="E64" i="2"/>
  <c r="E65" i="2"/>
  <c r="E66" i="2"/>
  <c r="E67" i="2"/>
  <c r="E68" i="2"/>
  <c r="AL9" i="2"/>
  <c r="AL10" i="2"/>
  <c r="AL11" i="2"/>
  <c r="AL12" i="2"/>
  <c r="AL13" i="2"/>
  <c r="AL16" i="2"/>
  <c r="AL17" i="2"/>
  <c r="AL18" i="2"/>
  <c r="AL19" i="2"/>
  <c r="AL20" i="2"/>
  <c r="AL21" i="2"/>
  <c r="AL22" i="2"/>
  <c r="AL23" i="2"/>
  <c r="AL24" i="2"/>
  <c r="AL25" i="2"/>
  <c r="AL26" i="2"/>
  <c r="AL28" i="2"/>
  <c r="AL29" i="2"/>
  <c r="AL30" i="2"/>
  <c r="AL32" i="2"/>
  <c r="AL33" i="2"/>
  <c r="AL35" i="2"/>
  <c r="AN35" i="2" s="1"/>
  <c r="AL36" i="2"/>
  <c r="AN36" i="2" s="1"/>
  <c r="AL39" i="2"/>
  <c r="AN39" i="2" s="1"/>
  <c r="AL40" i="2"/>
  <c r="AN40" i="2" s="1"/>
  <c r="AL42" i="2"/>
  <c r="AN42" i="2" s="1"/>
  <c r="AL43" i="2"/>
  <c r="AN43" i="2" s="1"/>
  <c r="AL44" i="2"/>
  <c r="AN44" i="2" s="1"/>
  <c r="AL45" i="2"/>
  <c r="AN45" i="2" s="1"/>
  <c r="AL47" i="2"/>
  <c r="AN47" i="2" s="1"/>
  <c r="AL48" i="2"/>
  <c r="AN48" i="2" s="1"/>
  <c r="AL49" i="2"/>
  <c r="AN49" i="2" s="1"/>
  <c r="AL51" i="2"/>
  <c r="AN51" i="2" s="1"/>
  <c r="AL52" i="2"/>
  <c r="AN52" i="2" s="1"/>
  <c r="AL53" i="2"/>
  <c r="AN53" i="2" s="1"/>
  <c r="AL54" i="2"/>
  <c r="AN54" i="2" s="1"/>
  <c r="AL56" i="2"/>
  <c r="AN56" i="2" s="1"/>
  <c r="AL57" i="2"/>
  <c r="AN57" i="2" s="1"/>
  <c r="AL58" i="2"/>
  <c r="AN58" i="2" s="1"/>
  <c r="AL60" i="2"/>
  <c r="AN60" i="2" s="1"/>
  <c r="AL61" i="2"/>
  <c r="AN61" i="2" s="1"/>
  <c r="AL62" i="2"/>
  <c r="AN62" i="2" s="1"/>
  <c r="AL64" i="2"/>
  <c r="AN64" i="2" s="1"/>
  <c r="AL65" i="2"/>
  <c r="AN65" i="2" s="1"/>
  <c r="AL66" i="2"/>
  <c r="AN66" i="2" s="1"/>
  <c r="AL67" i="2"/>
  <c r="AN67" i="2" s="1"/>
  <c r="AL68" i="2"/>
  <c r="AN68" i="2" s="1"/>
  <c r="AO9" i="2"/>
  <c r="AO10" i="2"/>
  <c r="AO11" i="2"/>
  <c r="AO12" i="2"/>
  <c r="AO13" i="2"/>
  <c r="AO16" i="2"/>
  <c r="AO17" i="2"/>
  <c r="AO18" i="2"/>
  <c r="AO19" i="2"/>
  <c r="AO20" i="2"/>
  <c r="AO21" i="2"/>
  <c r="AO22" i="2"/>
  <c r="AO23" i="2"/>
  <c r="AO24" i="2"/>
  <c r="AO25" i="2"/>
  <c r="AO26" i="2"/>
  <c r="AO28" i="2"/>
  <c r="AO29" i="2"/>
  <c r="AO30" i="2"/>
  <c r="AO32" i="2"/>
  <c r="AO33" i="2"/>
  <c r="AR9" i="2"/>
  <c r="AR10" i="2"/>
  <c r="AR11" i="2"/>
  <c r="AR12" i="2"/>
  <c r="AR13" i="2"/>
  <c r="AR16" i="2"/>
  <c r="AR17" i="2"/>
  <c r="AR18" i="2"/>
  <c r="AR19" i="2"/>
  <c r="AR20" i="2"/>
  <c r="AR21" i="2"/>
  <c r="AR22" i="2"/>
  <c r="AR23" i="2"/>
  <c r="AR24" i="2"/>
  <c r="AR25" i="2"/>
  <c r="AR26" i="2"/>
  <c r="AR28" i="2"/>
  <c r="AR29" i="2"/>
  <c r="AR30" i="2"/>
  <c r="AR32" i="2"/>
  <c r="AR33" i="2"/>
  <c r="AU9" i="2"/>
  <c r="AU10" i="2"/>
  <c r="AU11" i="2"/>
  <c r="AU12" i="2"/>
  <c r="AU13" i="2"/>
  <c r="AU16" i="2"/>
  <c r="AU17" i="2"/>
  <c r="AU18" i="2"/>
  <c r="AU19" i="2"/>
  <c r="AU20" i="2"/>
  <c r="AU21" i="2"/>
  <c r="AU22" i="2"/>
  <c r="AU23" i="2"/>
  <c r="AU24" i="2"/>
  <c r="AU25" i="2"/>
  <c r="AU26" i="2"/>
  <c r="AU28" i="2"/>
  <c r="AU29" i="2"/>
  <c r="AU30" i="2"/>
  <c r="AU32" i="2"/>
  <c r="AU33" i="2"/>
  <c r="AU8" i="2"/>
  <c r="AR8" i="2"/>
  <c r="AO8" i="2"/>
  <c r="AL8" i="2"/>
  <c r="AI8" i="2"/>
  <c r="AF8" i="2"/>
  <c r="AC8" i="2"/>
  <c r="Z8" i="2"/>
  <c r="W8" i="2"/>
  <c r="T8" i="2"/>
  <c r="Q8" i="2"/>
  <c r="N8" i="2"/>
  <c r="K8" i="2"/>
  <c r="E8" i="2"/>
  <c r="AU5" i="2"/>
  <c r="A2" i="5"/>
  <c r="AR5" i="2"/>
  <c r="AO5" i="2"/>
  <c r="AL5" i="2"/>
  <c r="AI5" i="2"/>
  <c r="AF5" i="2"/>
  <c r="AC5" i="2"/>
  <c r="Z5" i="2"/>
  <c r="W5" i="2"/>
  <c r="T5" i="2"/>
  <c r="Q5" i="2"/>
  <c r="N5" i="2"/>
  <c r="E5" i="2"/>
  <c r="A2" i="6"/>
  <c r="R29" i="9"/>
  <c r="R28" i="9"/>
  <c r="R26" i="9"/>
  <c r="R25" i="9"/>
  <c r="R24" i="9"/>
  <c r="R23" i="9"/>
  <c r="R22" i="9"/>
  <c r="R21" i="9"/>
  <c r="R20" i="9"/>
  <c r="R19" i="9"/>
  <c r="R18" i="9"/>
  <c r="R17" i="9"/>
  <c r="R16" i="9"/>
  <c r="R13" i="9"/>
  <c r="R12" i="9"/>
  <c r="R11" i="9"/>
  <c r="R10" i="9"/>
  <c r="R9" i="9"/>
  <c r="R8" i="9"/>
  <c r="BA32" i="8" l="1"/>
  <c r="BA67" i="8"/>
  <c r="BA30" i="8"/>
  <c r="BA71" i="8"/>
  <c r="BA43" i="8"/>
  <c r="BA35" i="8"/>
  <c r="BA14" i="8"/>
  <c r="BA22" i="8"/>
  <c r="BA10" i="8"/>
  <c r="BA74" i="8"/>
  <c r="BA19" i="8"/>
  <c r="BA72" i="2"/>
  <c r="BA46" i="8"/>
  <c r="BA71" i="2"/>
  <c r="BA75" i="2"/>
  <c r="BA70" i="8"/>
  <c r="BA64" i="8"/>
  <c r="BA56" i="8"/>
  <c r="BA44" i="8"/>
  <c r="BA40" i="8"/>
  <c r="BA37" i="8"/>
  <c r="BA34" i="2"/>
  <c r="BA23" i="8"/>
  <c r="BA17" i="8"/>
  <c r="BA12" i="8"/>
  <c r="BA9" i="8"/>
  <c r="BA70" i="2"/>
  <c r="BA60" i="8"/>
  <c r="BA54" i="8"/>
  <c r="BA36" i="8"/>
  <c r="BA53" i="8"/>
  <c r="BA72" i="8"/>
  <c r="BA57" i="8"/>
  <c r="BA25" i="8"/>
  <c r="BA28" i="8"/>
  <c r="BA26" i="8"/>
  <c r="BA42" i="8"/>
  <c r="BA24" i="8"/>
  <c r="BA55" i="2"/>
  <c r="BA68" i="8"/>
  <c r="BA18" i="8"/>
  <c r="BA55" i="8"/>
  <c r="BA69" i="2"/>
  <c r="BA46" i="2"/>
  <c r="BA37" i="2"/>
  <c r="BA73" i="2"/>
  <c r="BA74" i="2"/>
  <c r="AX65" i="2"/>
  <c r="D65" i="4" s="1"/>
  <c r="AX60" i="2"/>
  <c r="D60" i="4" s="1"/>
  <c r="AX68" i="2"/>
  <c r="D68" i="4" s="1"/>
  <c r="AX47" i="2"/>
  <c r="D47" i="4" s="1"/>
  <c r="AX56" i="2"/>
  <c r="D56" i="4" s="1"/>
  <c r="BA16" i="8"/>
  <c r="BA52" i="8"/>
  <c r="BA47" i="8"/>
  <c r="BA62" i="8"/>
  <c r="BA45" i="8"/>
  <c r="BA19" i="7"/>
  <c r="BA60" i="7"/>
  <c r="BA58" i="7"/>
  <c r="BA33" i="7"/>
  <c r="AX67" i="2"/>
  <c r="D67" i="4" s="1"/>
  <c r="AX66" i="2"/>
  <c r="D66" i="4" s="1"/>
  <c r="AX57" i="2"/>
  <c r="D57" i="4" s="1"/>
  <c r="AX48" i="2"/>
  <c r="D48" i="4" s="1"/>
  <c r="AX54" i="2"/>
  <c r="D54" i="4" s="1"/>
  <c r="AX45" i="2"/>
  <c r="D45" i="4" s="1"/>
  <c r="AX36" i="2"/>
  <c r="D36" i="4" s="1"/>
  <c r="AX53" i="2"/>
  <c r="D53" i="4" s="1"/>
  <c r="AX44" i="2"/>
  <c r="D44" i="4" s="1"/>
  <c r="AX35" i="2"/>
  <c r="D35" i="4" s="1"/>
  <c r="AX62" i="2"/>
  <c r="D62" i="4" s="1"/>
  <c r="AX52" i="2"/>
  <c r="D52" i="4" s="1"/>
  <c r="AX43" i="2"/>
  <c r="D43" i="4" s="1"/>
  <c r="AX61" i="2"/>
  <c r="D61" i="4" s="1"/>
  <c r="AX51" i="2"/>
  <c r="D51" i="4" s="1"/>
  <c r="AX42" i="2"/>
  <c r="D42" i="4" s="1"/>
  <c r="BA29" i="7"/>
  <c r="BA16" i="7"/>
  <c r="BA35" i="7"/>
  <c r="BA33" i="8"/>
  <c r="BA39" i="8"/>
  <c r="BA13" i="8"/>
  <c r="BA29" i="8"/>
  <c r="BA58" i="8"/>
  <c r="BA49" i="8"/>
  <c r="BA21" i="8"/>
  <c r="BA34" i="8"/>
  <c r="AX58" i="2"/>
  <c r="D58" i="4" s="1"/>
  <c r="AX49" i="2"/>
  <c r="D49" i="4" s="1"/>
  <c r="AX40" i="2"/>
  <c r="D40" i="4" s="1"/>
  <c r="AX64" i="2"/>
  <c r="D64" i="4" s="1"/>
  <c r="AX39" i="2"/>
  <c r="D39" i="4" s="1"/>
  <c r="AV8" i="7"/>
  <c r="X8" i="7"/>
  <c r="BA14" i="2"/>
  <c r="AM8" i="7"/>
  <c r="AJ8" i="7"/>
  <c r="AQ8" i="8"/>
  <c r="L8" i="7"/>
  <c r="O8" i="7"/>
  <c r="R8" i="7"/>
  <c r="S8" i="8"/>
  <c r="AR77" i="7"/>
  <c r="E77" i="7"/>
  <c r="T77" i="7"/>
  <c r="AC77" i="7"/>
  <c r="AA8" i="8"/>
  <c r="K77" i="8"/>
  <c r="AX8" i="8"/>
  <c r="M8" i="8"/>
  <c r="L8" i="8"/>
  <c r="AR77" i="8"/>
  <c r="AT8" i="8"/>
  <c r="AS8" i="8"/>
  <c r="AP8" i="8"/>
  <c r="R8" i="8"/>
  <c r="AM8" i="8"/>
  <c r="O8" i="8"/>
  <c r="AD8" i="8"/>
  <c r="F8" i="8"/>
  <c r="AI77" i="8"/>
  <c r="AK8" i="8"/>
  <c r="AH8" i="8"/>
  <c r="J8" i="8"/>
  <c r="AN8" i="8"/>
  <c r="P8" i="8"/>
  <c r="AE8" i="8"/>
  <c r="G8" i="8"/>
  <c r="T77" i="8"/>
  <c r="V8" i="8"/>
  <c r="U8" i="8"/>
  <c r="AJ8" i="8"/>
  <c r="E77" i="8"/>
  <c r="AC77" i="8"/>
  <c r="N77" i="8"/>
  <c r="AL77" i="8"/>
  <c r="W77" i="8"/>
  <c r="AU77" i="8"/>
  <c r="H77" i="8"/>
  <c r="X8" i="8"/>
  <c r="AF77" i="8"/>
  <c r="AV8" i="8"/>
  <c r="I8" i="8"/>
  <c r="Q77" i="8"/>
  <c r="Y8" i="8"/>
  <c r="AG8" i="8"/>
  <c r="AO77" i="8"/>
  <c r="AW8" i="8"/>
  <c r="Z77" i="8"/>
  <c r="J8" i="7"/>
  <c r="Z77" i="7"/>
  <c r="AH8" i="7"/>
  <c r="AX8" i="7"/>
  <c r="K77" i="7"/>
  <c r="S8" i="7"/>
  <c r="AA8" i="7"/>
  <c r="AI77" i="7"/>
  <c r="AQ8" i="7"/>
  <c r="AB8" i="7"/>
  <c r="U8" i="7"/>
  <c r="F8" i="7"/>
  <c r="N77" i="7"/>
  <c r="V8" i="7"/>
  <c r="AD8" i="7"/>
  <c r="AL77" i="7"/>
  <c r="AT8" i="7"/>
  <c r="AK8" i="7"/>
  <c r="G8" i="7"/>
  <c r="W77" i="7"/>
  <c r="AE8" i="7"/>
  <c r="AU77" i="7"/>
  <c r="M8" i="7"/>
  <c r="AS8" i="7"/>
  <c r="H77" i="7"/>
  <c r="P8" i="7"/>
  <c r="AF77" i="7"/>
  <c r="I8" i="7"/>
  <c r="Q77" i="7"/>
  <c r="Y8" i="7"/>
  <c r="AG8" i="7"/>
  <c r="AO77" i="7"/>
  <c r="AW8" i="7"/>
  <c r="R77" i="9"/>
  <c r="AX24" i="2"/>
  <c r="D24" i="4" s="1"/>
  <c r="AX32" i="2"/>
  <c r="D32" i="4" s="1"/>
  <c r="AX9" i="2"/>
  <c r="AX11" i="2"/>
  <c r="AX16" i="2"/>
  <c r="D16" i="4" s="1"/>
  <c r="AX17" i="2"/>
  <c r="D17" i="4" s="1"/>
  <c r="AX18" i="2"/>
  <c r="D18" i="4" s="1"/>
  <c r="AX19" i="2"/>
  <c r="D19" i="4" s="1"/>
  <c r="AX20" i="2"/>
  <c r="D20" i="4" s="1"/>
  <c r="AX21" i="2"/>
  <c r="D21" i="4" s="1"/>
  <c r="AX22" i="2"/>
  <c r="D22" i="4" s="1"/>
  <c r="AX23" i="2"/>
  <c r="D23" i="4" s="1"/>
  <c r="AX25" i="2"/>
  <c r="D25" i="4" s="1"/>
  <c r="AX26" i="2"/>
  <c r="D26" i="4" s="1"/>
  <c r="AX28" i="2"/>
  <c r="D28" i="4" s="1"/>
  <c r="AX29" i="2"/>
  <c r="D29" i="4" s="1"/>
  <c r="AX30" i="2"/>
  <c r="D30" i="4" s="1"/>
  <c r="AX33" i="2"/>
  <c r="D33" i="4" s="1"/>
  <c r="A77" i="4"/>
  <c r="A63" i="4"/>
  <c r="A59" i="4"/>
  <c r="A50" i="4"/>
  <c r="A41" i="4"/>
  <c r="A38" i="4"/>
  <c r="A7" i="4"/>
  <c r="A77" i="2"/>
  <c r="D9" i="4" l="1"/>
  <c r="D11" i="4"/>
  <c r="L77" i="7"/>
  <c r="O77" i="7"/>
  <c r="R77" i="7"/>
  <c r="X77" i="7"/>
  <c r="AJ77" i="7"/>
  <c r="AN77" i="7"/>
  <c r="AM77" i="7"/>
  <c r="AP77" i="7"/>
  <c r="AV77" i="7"/>
  <c r="AQ77" i="8"/>
  <c r="AB77" i="8"/>
  <c r="S77" i="8"/>
  <c r="AA77" i="8"/>
  <c r="I77" i="8"/>
  <c r="G77" i="8"/>
  <c r="AZ8" i="8"/>
  <c r="AE77" i="8"/>
  <c r="F77" i="8"/>
  <c r="AY8" i="8"/>
  <c r="AS77" i="8"/>
  <c r="P77" i="8"/>
  <c r="AD77" i="8"/>
  <c r="AT77" i="8"/>
  <c r="M77" i="8"/>
  <c r="AW77" i="8"/>
  <c r="AV77" i="8"/>
  <c r="AN77" i="8"/>
  <c r="O77" i="8"/>
  <c r="AX77" i="8"/>
  <c r="AJ77" i="8"/>
  <c r="J77" i="8"/>
  <c r="AM77" i="8"/>
  <c r="L77" i="8"/>
  <c r="AG77" i="8"/>
  <c r="X77" i="8"/>
  <c r="U77" i="8"/>
  <c r="AH77" i="8"/>
  <c r="R77" i="8"/>
  <c r="Y77" i="8"/>
  <c r="V77" i="8"/>
  <c r="AK77" i="8"/>
  <c r="AP77" i="8"/>
  <c r="AK77" i="7"/>
  <c r="U77" i="7"/>
  <c r="J77" i="7"/>
  <c r="AW77" i="7"/>
  <c r="AD77" i="7"/>
  <c r="AB77" i="7"/>
  <c r="G77" i="7"/>
  <c r="AZ8" i="7"/>
  <c r="V77" i="7"/>
  <c r="AQ77" i="7"/>
  <c r="AG77" i="7"/>
  <c r="P77" i="7"/>
  <c r="AX77" i="7"/>
  <c r="Y77" i="7"/>
  <c r="AS77" i="7"/>
  <c r="F77" i="7"/>
  <c r="AY8" i="7"/>
  <c r="AA77" i="7"/>
  <c r="M77" i="7"/>
  <c r="S77" i="7"/>
  <c r="AH77" i="7"/>
  <c r="I77" i="7"/>
  <c r="AE77" i="7"/>
  <c r="AT77" i="7"/>
  <c r="AX12" i="2"/>
  <c r="D12" i="4" s="1"/>
  <c r="AX10" i="2"/>
  <c r="D10" i="4" s="1"/>
  <c r="AX13" i="2"/>
  <c r="D13" i="4" s="1"/>
  <c r="B39" i="4"/>
  <c r="B40" i="4"/>
  <c r="A2" i="4"/>
  <c r="AK9" i="2"/>
  <c r="AN10" i="2"/>
  <c r="AS11" i="2"/>
  <c r="AG12" i="2"/>
  <c r="AM13" i="2"/>
  <c r="AM16" i="2"/>
  <c r="AS17" i="2"/>
  <c r="AK18" i="2"/>
  <c r="AS19" i="2"/>
  <c r="AH19" i="2"/>
  <c r="AS20" i="2"/>
  <c r="AS21" i="2"/>
  <c r="AH21" i="2"/>
  <c r="AJ22" i="2"/>
  <c r="AK22" i="2"/>
  <c r="AP24" i="2"/>
  <c r="AK24" i="2"/>
  <c r="AP25" i="2"/>
  <c r="AK25" i="2"/>
  <c r="AP26" i="2"/>
  <c r="AK26" i="2"/>
  <c r="AS28" i="2"/>
  <c r="AQ28" i="2"/>
  <c r="AG29" i="2"/>
  <c r="AM32" i="2"/>
  <c r="AK32" i="2"/>
  <c r="AP33" i="2"/>
  <c r="AK35" i="2"/>
  <c r="AG39" i="2"/>
  <c r="AJ40" i="2"/>
  <c r="AH43" i="2"/>
  <c r="AK44" i="2"/>
  <c r="AM45" i="2"/>
  <c r="AH45" i="2"/>
  <c r="AJ47" i="2"/>
  <c r="AJ48" i="2"/>
  <c r="AJ49" i="2"/>
  <c r="AJ51" i="2"/>
  <c r="AG53" i="2"/>
  <c r="AG54" i="2"/>
  <c r="AH54" i="2"/>
  <c r="AJ57" i="2"/>
  <c r="AG60" i="2"/>
  <c r="AG62" i="2"/>
  <c r="AH62" i="2"/>
  <c r="AK66" i="2"/>
  <c r="AH67" i="2"/>
  <c r="AH8" i="2"/>
  <c r="AP8" i="2"/>
  <c r="AQ18" i="2"/>
  <c r="AK19" i="2"/>
  <c r="AH36" i="2" l="1"/>
  <c r="AJ61" i="2"/>
  <c r="AM11" i="2"/>
  <c r="AJ16" i="2"/>
  <c r="AG61" i="2"/>
  <c r="AK10" i="2"/>
  <c r="AH10" i="2"/>
  <c r="AJ42" i="2"/>
  <c r="AJ24" i="2"/>
  <c r="AM24" i="2"/>
  <c r="AG56" i="2"/>
  <c r="AJ32" i="2"/>
  <c r="AG20" i="2"/>
  <c r="AJ54" i="2"/>
  <c r="AM61" i="2"/>
  <c r="AP16" i="2"/>
  <c r="AK8" i="2"/>
  <c r="AK62" i="2"/>
  <c r="AP28" i="2"/>
  <c r="AG11" i="2"/>
  <c r="AH64" i="2"/>
  <c r="AP11" i="2"/>
  <c r="AH66" i="2"/>
  <c r="AJ11" i="2"/>
  <c r="AM20" i="2"/>
  <c r="AP20" i="2"/>
  <c r="AG13" i="2"/>
  <c r="AJ17" i="2"/>
  <c r="AP32" i="2"/>
  <c r="AG42" i="2"/>
  <c r="AZ77" i="8"/>
  <c r="BA8" i="8"/>
  <c r="AY77" i="8"/>
  <c r="AY77" i="7"/>
  <c r="AZ77" i="7"/>
  <c r="BA8" i="7"/>
  <c r="AG43" i="2"/>
  <c r="AJ12" i="2"/>
  <c r="AJ29" i="2"/>
  <c r="AH28" i="2"/>
  <c r="AG17" i="2"/>
  <c r="AG52" i="2"/>
  <c r="AJ28" i="2"/>
  <c r="AM43" i="2"/>
  <c r="AS29" i="2"/>
  <c r="AH56" i="2"/>
  <c r="AM33" i="2"/>
  <c r="AS12" i="2"/>
  <c r="AM62" i="2"/>
  <c r="AG33" i="2"/>
  <c r="AJ21" i="2"/>
  <c r="AG48" i="2"/>
  <c r="AJ20" i="2"/>
  <c r="AP17" i="2"/>
  <c r="AH40" i="2"/>
  <c r="AJ65" i="2"/>
  <c r="AN24" i="2"/>
  <c r="AJ56" i="2"/>
  <c r="AM17" i="2"/>
  <c r="AH47" i="2"/>
  <c r="AT20" i="2"/>
  <c r="AQ16" i="2"/>
  <c r="AH11" i="2"/>
  <c r="AG40" i="2"/>
  <c r="E44" i="4"/>
  <c r="E71" i="4"/>
  <c r="E53" i="4"/>
  <c r="AG28" i="2"/>
  <c r="AM44" i="2"/>
  <c r="AM35" i="2"/>
  <c r="E62" i="4"/>
  <c r="E61" i="4"/>
  <c r="E52" i="4"/>
  <c r="E43" i="4"/>
  <c r="E32" i="4"/>
  <c r="E22" i="4"/>
  <c r="E12" i="4"/>
  <c r="AN11" i="2"/>
  <c r="AQ32" i="2"/>
  <c r="AT24" i="2"/>
  <c r="E70" i="4"/>
  <c r="AK11" i="2"/>
  <c r="AK20" i="2"/>
  <c r="AK56" i="2"/>
  <c r="AN28" i="2"/>
  <c r="AQ20" i="2"/>
  <c r="AT28" i="2"/>
  <c r="AK64" i="2"/>
  <c r="AK36" i="2"/>
  <c r="AJ62" i="2"/>
  <c r="AK43" i="2"/>
  <c r="AJ33" i="2"/>
  <c r="AJ25" i="2"/>
  <c r="AK17" i="2"/>
  <c r="AN23" i="2"/>
  <c r="AP29" i="2"/>
  <c r="AP21" i="2"/>
  <c r="AP12" i="2"/>
  <c r="AT19" i="2"/>
  <c r="AT10" i="2"/>
  <c r="AH20" i="2"/>
  <c r="E67" i="4"/>
  <c r="E57" i="4"/>
  <c r="E48" i="4"/>
  <c r="E39" i="4"/>
  <c r="E28" i="4"/>
  <c r="E19" i="4"/>
  <c r="E9" i="4"/>
  <c r="AH35" i="2"/>
  <c r="AN16" i="2"/>
  <c r="AG21" i="2"/>
  <c r="AG66" i="2"/>
  <c r="AK28" i="2"/>
  <c r="AN32" i="2"/>
  <c r="AM52" i="2"/>
  <c r="AQ11" i="2"/>
  <c r="AQ24" i="2"/>
  <c r="AT11" i="2"/>
  <c r="AK68" i="2"/>
  <c r="AM66" i="2"/>
  <c r="AM57" i="2"/>
  <c r="AM29" i="2"/>
  <c r="AM21" i="2"/>
  <c r="AM12" i="2"/>
  <c r="AQ19" i="2"/>
  <c r="AQ10" i="2"/>
  <c r="AS33" i="2"/>
  <c r="AS25" i="2"/>
  <c r="AK16" i="2"/>
  <c r="AH61" i="2"/>
  <c r="AH51" i="2"/>
  <c r="AH42" i="2"/>
  <c r="AK67" i="2"/>
  <c r="AK58" i="2"/>
  <c r="AK49" i="2"/>
  <c r="AK40" i="2"/>
  <c r="AK30" i="2"/>
  <c r="AK13" i="2"/>
  <c r="AM65" i="2"/>
  <c r="AM28" i="2"/>
  <c r="AQ26" i="2"/>
  <c r="AQ9" i="2"/>
  <c r="AT32" i="2"/>
  <c r="AT16" i="2"/>
  <c r="AX8" i="2"/>
  <c r="AN20" i="2"/>
  <c r="AT29" i="2"/>
  <c r="AT21" i="2"/>
  <c r="AT12" i="2"/>
  <c r="AH68" i="2"/>
  <c r="AH60" i="2"/>
  <c r="AH23" i="2"/>
  <c r="E72" i="4"/>
  <c r="E64" i="4"/>
  <c r="E54" i="4"/>
  <c r="E45" i="4"/>
  <c r="E34" i="4"/>
  <c r="E24" i="4"/>
  <c r="E16" i="4"/>
  <c r="AM8" i="2"/>
  <c r="AJ36" i="2"/>
  <c r="AG36" i="2"/>
  <c r="E69" i="4"/>
  <c r="E60" i="4"/>
  <c r="E51" i="4"/>
  <c r="E42" i="4"/>
  <c r="E30" i="4"/>
  <c r="E21" i="4"/>
  <c r="E11" i="4"/>
  <c r="AS26" i="2"/>
  <c r="AS10" i="2"/>
  <c r="AG10" i="2"/>
  <c r="E49" i="4"/>
  <c r="E29" i="4"/>
  <c r="E20" i="4"/>
  <c r="AG64" i="2"/>
  <c r="AJ64" i="2"/>
  <c r="E68" i="4"/>
  <c r="E58" i="4"/>
  <c r="E40" i="4"/>
  <c r="E10" i="4"/>
  <c r="AG45" i="2"/>
  <c r="E66" i="4"/>
  <c r="E56" i="4"/>
  <c r="E47" i="4"/>
  <c r="E36" i="4"/>
  <c r="E26" i="4"/>
  <c r="E18" i="4"/>
  <c r="AS13" i="2"/>
  <c r="AK52" i="2"/>
  <c r="AJ52" i="2"/>
  <c r="AH44" i="2"/>
  <c r="AG44" i="2"/>
  <c r="AG35" i="2"/>
  <c r="AG26" i="2"/>
  <c r="AG18" i="2"/>
  <c r="AG9" i="2"/>
  <c r="AM36" i="2"/>
  <c r="AJ68" i="2"/>
  <c r="AK60" i="2"/>
  <c r="AJ60" i="2"/>
  <c r="AJ23" i="2"/>
  <c r="AK23" i="2"/>
  <c r="AM48" i="2"/>
  <c r="AP19" i="2"/>
  <c r="AP10" i="2"/>
  <c r="E33" i="4"/>
  <c r="E23" i="4"/>
  <c r="E13" i="4"/>
  <c r="AG67" i="2"/>
  <c r="AG58" i="2"/>
  <c r="AJ53" i="2"/>
  <c r="AM53" i="2"/>
  <c r="AM49" i="2"/>
  <c r="AJ44" i="2"/>
  <c r="AM40" i="2"/>
  <c r="AS30" i="2"/>
  <c r="AG30" i="2"/>
  <c r="AM30" i="2"/>
  <c r="AS22" i="2"/>
  <c r="AM22" i="2"/>
  <c r="AG22" i="2"/>
  <c r="AP18" i="2"/>
  <c r="AS18" i="2"/>
  <c r="AM18" i="2"/>
  <c r="AP9" i="2"/>
  <c r="AS9" i="2"/>
  <c r="E65" i="4"/>
  <c r="E55" i="4"/>
  <c r="E46" i="4"/>
  <c r="E35" i="4"/>
  <c r="E25" i="4"/>
  <c r="E17" i="4"/>
  <c r="AH32" i="2"/>
  <c r="AG32" i="2"/>
  <c r="AH24" i="2"/>
  <c r="AG24" i="2"/>
  <c r="AH16" i="2"/>
  <c r="AG16" i="2"/>
  <c r="AH12" i="2"/>
  <c r="AH52" i="2"/>
  <c r="AK21" i="2"/>
  <c r="AK48" i="2"/>
  <c r="AK54" i="2"/>
  <c r="AH33" i="2"/>
  <c r="AH25" i="2"/>
  <c r="AH17" i="2"/>
  <c r="AI77" i="2"/>
  <c r="AK51" i="2"/>
  <c r="AM58" i="2"/>
  <c r="AH29" i="2"/>
  <c r="AH48" i="2"/>
  <c r="AK12" i="2"/>
  <c r="AG49" i="2"/>
  <c r="AJ66" i="2"/>
  <c r="AK39" i="2"/>
  <c r="AN19" i="2"/>
  <c r="AT23" i="2"/>
  <c r="AG68" i="2"/>
  <c r="AJ13" i="2"/>
  <c r="AH57" i="2"/>
  <c r="AH39" i="2"/>
  <c r="AK47" i="2"/>
  <c r="AM26" i="2"/>
  <c r="AJ30" i="2"/>
  <c r="AQ8" i="2"/>
  <c r="AS32" i="2"/>
  <c r="AS24" i="2"/>
  <c r="AS16" i="2"/>
  <c r="AH65" i="2"/>
  <c r="AJ45" i="2"/>
  <c r="AJ19" i="2"/>
  <c r="AJ10" i="2"/>
  <c r="AM25" i="2"/>
  <c r="AQ23" i="2"/>
  <c r="AK53" i="2"/>
  <c r="AJ26" i="2"/>
  <c r="AJ18" i="2"/>
  <c r="AJ9" i="2"/>
  <c r="AQ30" i="2"/>
  <c r="AQ22" i="2"/>
  <c r="AO77" i="2"/>
  <c r="AF77" i="2"/>
  <c r="AL77" i="2"/>
  <c r="AR77" i="2"/>
  <c r="AS23" i="2"/>
  <c r="AT30" i="2"/>
  <c r="AT26" i="2"/>
  <c r="AT22" i="2"/>
  <c r="AT18" i="2"/>
  <c r="AT13" i="2"/>
  <c r="AT9" i="2"/>
  <c r="AT33" i="2"/>
  <c r="AT25" i="2"/>
  <c r="AT17" i="2"/>
  <c r="AQ13" i="2"/>
  <c r="AP30" i="2"/>
  <c r="AP22" i="2"/>
  <c r="AP13" i="2"/>
  <c r="AP23" i="2"/>
  <c r="AM9" i="2"/>
  <c r="AM39" i="2"/>
  <c r="AM67" i="2"/>
  <c r="AG65" i="2"/>
  <c r="AG25" i="2"/>
  <c r="AG57" i="2"/>
  <c r="AH9" i="2"/>
  <c r="AH13" i="2"/>
  <c r="AH18" i="2"/>
  <c r="AH22" i="2"/>
  <c r="AH26" i="2"/>
  <c r="AH30" i="2"/>
  <c r="AH49" i="2"/>
  <c r="AH53" i="2"/>
  <c r="AH58" i="2"/>
  <c r="AK42" i="2"/>
  <c r="AK61" i="2"/>
  <c r="AK65" i="2"/>
  <c r="AN9" i="2"/>
  <c r="AN13" i="2"/>
  <c r="AN18" i="2"/>
  <c r="AN22" i="2"/>
  <c r="AN26" i="2"/>
  <c r="AN30" i="2"/>
  <c r="AG19" i="2"/>
  <c r="AG23" i="2"/>
  <c r="AJ39" i="2"/>
  <c r="AJ43" i="2"/>
  <c r="AM10" i="2"/>
  <c r="AM19" i="2"/>
  <c r="AM23" i="2"/>
  <c r="AM54" i="2"/>
  <c r="AM60" i="2"/>
  <c r="AM64" i="2"/>
  <c r="AM68" i="2"/>
  <c r="AK57" i="2"/>
  <c r="AQ12" i="2"/>
  <c r="AQ21" i="2"/>
  <c r="AQ25" i="2"/>
  <c r="AQ29" i="2"/>
  <c r="AQ33" i="2"/>
  <c r="AK29" i="2"/>
  <c r="AK33" i="2"/>
  <c r="AQ17" i="2"/>
  <c r="AG47" i="2"/>
  <c r="AG51" i="2"/>
  <c r="AJ35" i="2"/>
  <c r="AJ58" i="2"/>
  <c r="AJ67" i="2"/>
  <c r="AM42" i="2"/>
  <c r="AM47" i="2"/>
  <c r="AM51" i="2"/>
  <c r="AM56" i="2"/>
  <c r="AK45" i="2"/>
  <c r="AN12" i="2"/>
  <c r="AN17" i="2"/>
  <c r="AN21" i="2"/>
  <c r="AN25" i="2"/>
  <c r="AN29" i="2"/>
  <c r="AN33" i="2"/>
  <c r="AT8" i="2"/>
  <c r="AJ8" i="2"/>
  <c r="AN8" i="2"/>
  <c r="AG8" i="2"/>
  <c r="AS8" i="2"/>
  <c r="D8" i="4" l="1"/>
  <c r="E8" i="4" s="1"/>
  <c r="BA77" i="7"/>
  <c r="BA77" i="8"/>
  <c r="AP77" i="2"/>
  <c r="AS77" i="2"/>
  <c r="AQ77" i="2"/>
  <c r="AT77" i="2"/>
  <c r="AM77" i="2"/>
  <c r="AJ77" i="2"/>
  <c r="AK77" i="2"/>
  <c r="AH77" i="2"/>
  <c r="AG77" i="2"/>
  <c r="AN77" i="2"/>
  <c r="D77" i="4" l="1"/>
  <c r="E77" i="4"/>
  <c r="AU77" i="2" l="1"/>
  <c r="AC77" i="2"/>
  <c r="Z77" i="2"/>
  <c r="W77" i="2"/>
  <c r="T77" i="2"/>
  <c r="Q77" i="2"/>
  <c r="N77" i="2"/>
  <c r="K77" i="2"/>
  <c r="H77" i="2"/>
  <c r="E77" i="2"/>
  <c r="AE68" i="2"/>
  <c r="AD68" i="2"/>
  <c r="AB68" i="2"/>
  <c r="AA68" i="2"/>
  <c r="Y68" i="2"/>
  <c r="X68" i="2"/>
  <c r="V68" i="2"/>
  <c r="U68" i="2"/>
  <c r="S68" i="2"/>
  <c r="R68" i="2"/>
  <c r="P68" i="2"/>
  <c r="O68" i="2"/>
  <c r="M68" i="2"/>
  <c r="L68" i="2"/>
  <c r="J68" i="2"/>
  <c r="I68" i="2"/>
  <c r="G68" i="2"/>
  <c r="F68" i="2"/>
  <c r="AE67" i="2"/>
  <c r="AD67" i="2"/>
  <c r="AB67" i="2"/>
  <c r="AA67" i="2"/>
  <c r="Y67" i="2"/>
  <c r="X67" i="2"/>
  <c r="V67" i="2"/>
  <c r="U67" i="2"/>
  <c r="S67" i="2"/>
  <c r="R67" i="2"/>
  <c r="P67" i="2"/>
  <c r="O67" i="2"/>
  <c r="M67" i="2"/>
  <c r="L67" i="2"/>
  <c r="J67" i="2"/>
  <c r="I67" i="2"/>
  <c r="G67" i="2"/>
  <c r="F67" i="2"/>
  <c r="AE66" i="2"/>
  <c r="AD66" i="2"/>
  <c r="AB66" i="2"/>
  <c r="AA66" i="2"/>
  <c r="Y66" i="2"/>
  <c r="X66" i="2"/>
  <c r="V66" i="2"/>
  <c r="U66" i="2"/>
  <c r="S66" i="2"/>
  <c r="R66" i="2"/>
  <c r="P66" i="2"/>
  <c r="O66" i="2"/>
  <c r="M66" i="2"/>
  <c r="L66" i="2"/>
  <c r="J66" i="2"/>
  <c r="I66" i="2"/>
  <c r="G66" i="2"/>
  <c r="F66" i="2"/>
  <c r="AE65" i="2"/>
  <c r="AD65" i="2"/>
  <c r="AB65" i="2"/>
  <c r="AA65" i="2"/>
  <c r="Y65" i="2"/>
  <c r="X65" i="2"/>
  <c r="V65" i="2"/>
  <c r="U65" i="2"/>
  <c r="S65" i="2"/>
  <c r="R65" i="2"/>
  <c r="P65" i="2"/>
  <c r="O65" i="2"/>
  <c r="M65" i="2"/>
  <c r="L65" i="2"/>
  <c r="J65" i="2"/>
  <c r="I65" i="2"/>
  <c r="G65" i="2"/>
  <c r="F65" i="2"/>
  <c r="AE64" i="2"/>
  <c r="AD64" i="2"/>
  <c r="AB64" i="2"/>
  <c r="AA64" i="2"/>
  <c r="Y64" i="2"/>
  <c r="X64" i="2"/>
  <c r="V64" i="2"/>
  <c r="U64" i="2"/>
  <c r="S64" i="2"/>
  <c r="R64" i="2"/>
  <c r="P64" i="2"/>
  <c r="O64" i="2"/>
  <c r="M64" i="2"/>
  <c r="L64" i="2"/>
  <c r="J64" i="2"/>
  <c r="I64" i="2"/>
  <c r="G64" i="2"/>
  <c r="F64" i="2"/>
  <c r="AE62" i="2"/>
  <c r="AD62" i="2"/>
  <c r="AB62" i="2"/>
  <c r="AA62" i="2"/>
  <c r="Y62" i="2"/>
  <c r="X62" i="2"/>
  <c r="V62" i="2"/>
  <c r="U62" i="2"/>
  <c r="S62" i="2"/>
  <c r="R62" i="2"/>
  <c r="P62" i="2"/>
  <c r="O62" i="2"/>
  <c r="M62" i="2"/>
  <c r="L62" i="2"/>
  <c r="J62" i="2"/>
  <c r="I62" i="2"/>
  <c r="G62" i="2"/>
  <c r="F62" i="2"/>
  <c r="AE61" i="2"/>
  <c r="AD61" i="2"/>
  <c r="AB61" i="2"/>
  <c r="AA61" i="2"/>
  <c r="Y61" i="2"/>
  <c r="X61" i="2"/>
  <c r="V61" i="2"/>
  <c r="U61" i="2"/>
  <c r="S61" i="2"/>
  <c r="R61" i="2"/>
  <c r="P61" i="2"/>
  <c r="O61" i="2"/>
  <c r="M61" i="2"/>
  <c r="L61" i="2"/>
  <c r="J61" i="2"/>
  <c r="I61" i="2"/>
  <c r="G61" i="2"/>
  <c r="F61" i="2"/>
  <c r="AE60" i="2"/>
  <c r="AD60" i="2"/>
  <c r="AB60" i="2"/>
  <c r="AA60" i="2"/>
  <c r="Y60" i="2"/>
  <c r="X60" i="2"/>
  <c r="V60" i="2"/>
  <c r="U60" i="2"/>
  <c r="S60" i="2"/>
  <c r="R60" i="2"/>
  <c r="P60" i="2"/>
  <c r="O60" i="2"/>
  <c r="M60" i="2"/>
  <c r="L60" i="2"/>
  <c r="J60" i="2"/>
  <c r="I60" i="2"/>
  <c r="G60" i="2"/>
  <c r="F60" i="2"/>
  <c r="AE58" i="2"/>
  <c r="AD58" i="2"/>
  <c r="AB58" i="2"/>
  <c r="AA58" i="2"/>
  <c r="Y58" i="2"/>
  <c r="X58" i="2"/>
  <c r="V58" i="2"/>
  <c r="U58" i="2"/>
  <c r="S58" i="2"/>
  <c r="R58" i="2"/>
  <c r="P58" i="2"/>
  <c r="O58" i="2"/>
  <c r="M58" i="2"/>
  <c r="L58" i="2"/>
  <c r="J58" i="2"/>
  <c r="I58" i="2"/>
  <c r="G58" i="2"/>
  <c r="F58" i="2"/>
  <c r="AE57" i="2"/>
  <c r="AD57" i="2"/>
  <c r="AB57" i="2"/>
  <c r="AA57" i="2"/>
  <c r="Y57" i="2"/>
  <c r="X57" i="2"/>
  <c r="V57" i="2"/>
  <c r="U57" i="2"/>
  <c r="S57" i="2"/>
  <c r="R57" i="2"/>
  <c r="P57" i="2"/>
  <c r="O57" i="2"/>
  <c r="M57" i="2"/>
  <c r="L57" i="2"/>
  <c r="J57" i="2"/>
  <c r="I57" i="2"/>
  <c r="G57" i="2"/>
  <c r="F57" i="2"/>
  <c r="AE56" i="2"/>
  <c r="AD56" i="2"/>
  <c r="AB56" i="2"/>
  <c r="AA56" i="2"/>
  <c r="Y56" i="2"/>
  <c r="X56" i="2"/>
  <c r="V56" i="2"/>
  <c r="U56" i="2"/>
  <c r="S56" i="2"/>
  <c r="R56" i="2"/>
  <c r="P56" i="2"/>
  <c r="O56" i="2"/>
  <c r="M56" i="2"/>
  <c r="L56" i="2"/>
  <c r="J56" i="2"/>
  <c r="I56" i="2"/>
  <c r="G56" i="2"/>
  <c r="F56" i="2"/>
  <c r="AE54" i="2"/>
  <c r="AD54" i="2"/>
  <c r="AB54" i="2"/>
  <c r="AA54" i="2"/>
  <c r="Y54" i="2"/>
  <c r="X54" i="2"/>
  <c r="V54" i="2"/>
  <c r="U54" i="2"/>
  <c r="S54" i="2"/>
  <c r="R54" i="2"/>
  <c r="P54" i="2"/>
  <c r="O54" i="2"/>
  <c r="M54" i="2"/>
  <c r="L54" i="2"/>
  <c r="J54" i="2"/>
  <c r="I54" i="2"/>
  <c r="G54" i="2"/>
  <c r="F54" i="2"/>
  <c r="AE53" i="2"/>
  <c r="AD53" i="2"/>
  <c r="AB53" i="2"/>
  <c r="AA53" i="2"/>
  <c r="Y53" i="2"/>
  <c r="X53" i="2"/>
  <c r="V53" i="2"/>
  <c r="U53" i="2"/>
  <c r="S53" i="2"/>
  <c r="R53" i="2"/>
  <c r="P53" i="2"/>
  <c r="O53" i="2"/>
  <c r="M53" i="2"/>
  <c r="L53" i="2"/>
  <c r="J53" i="2"/>
  <c r="I53" i="2"/>
  <c r="G53" i="2"/>
  <c r="F53" i="2"/>
  <c r="AE52" i="2"/>
  <c r="AD52" i="2"/>
  <c r="AB52" i="2"/>
  <c r="AA52" i="2"/>
  <c r="Y52" i="2"/>
  <c r="X52" i="2"/>
  <c r="V52" i="2"/>
  <c r="U52" i="2"/>
  <c r="S52" i="2"/>
  <c r="R52" i="2"/>
  <c r="P52" i="2"/>
  <c r="O52" i="2"/>
  <c r="M52" i="2"/>
  <c r="L52" i="2"/>
  <c r="J52" i="2"/>
  <c r="I52" i="2"/>
  <c r="G52" i="2"/>
  <c r="F52" i="2"/>
  <c r="AE51" i="2"/>
  <c r="AD51" i="2"/>
  <c r="AB51" i="2"/>
  <c r="AA51" i="2"/>
  <c r="Y51" i="2"/>
  <c r="X51" i="2"/>
  <c r="V51" i="2"/>
  <c r="U51" i="2"/>
  <c r="S51" i="2"/>
  <c r="R51" i="2"/>
  <c r="P51" i="2"/>
  <c r="O51" i="2"/>
  <c r="M51" i="2"/>
  <c r="L51" i="2"/>
  <c r="J51" i="2"/>
  <c r="I51" i="2"/>
  <c r="G51" i="2"/>
  <c r="F51" i="2"/>
  <c r="AE49" i="2"/>
  <c r="AD49" i="2"/>
  <c r="AB49" i="2"/>
  <c r="AA49" i="2"/>
  <c r="Y49" i="2"/>
  <c r="X49" i="2"/>
  <c r="V49" i="2"/>
  <c r="U49" i="2"/>
  <c r="S49" i="2"/>
  <c r="R49" i="2"/>
  <c r="P49" i="2"/>
  <c r="O49" i="2"/>
  <c r="M49" i="2"/>
  <c r="L49" i="2"/>
  <c r="J49" i="2"/>
  <c r="I49" i="2"/>
  <c r="G49" i="2"/>
  <c r="F49" i="2"/>
  <c r="AE48" i="2"/>
  <c r="AD48" i="2"/>
  <c r="AB48" i="2"/>
  <c r="AA48" i="2"/>
  <c r="Y48" i="2"/>
  <c r="X48" i="2"/>
  <c r="V48" i="2"/>
  <c r="U48" i="2"/>
  <c r="S48" i="2"/>
  <c r="R48" i="2"/>
  <c r="P48" i="2"/>
  <c r="O48" i="2"/>
  <c r="M48" i="2"/>
  <c r="L48" i="2"/>
  <c r="J48" i="2"/>
  <c r="I48" i="2"/>
  <c r="G48" i="2"/>
  <c r="F48" i="2"/>
  <c r="AE47" i="2"/>
  <c r="AD47" i="2"/>
  <c r="AB47" i="2"/>
  <c r="AA47" i="2"/>
  <c r="Y47" i="2"/>
  <c r="X47" i="2"/>
  <c r="V47" i="2"/>
  <c r="U47" i="2"/>
  <c r="S47" i="2"/>
  <c r="R47" i="2"/>
  <c r="P47" i="2"/>
  <c r="O47" i="2"/>
  <c r="M47" i="2"/>
  <c r="L47" i="2"/>
  <c r="J47" i="2"/>
  <c r="I47" i="2"/>
  <c r="G47" i="2"/>
  <c r="F47" i="2"/>
  <c r="AE45" i="2"/>
  <c r="AD45" i="2"/>
  <c r="AB45" i="2"/>
  <c r="AA45" i="2"/>
  <c r="Y45" i="2"/>
  <c r="X45" i="2"/>
  <c r="V45" i="2"/>
  <c r="U45" i="2"/>
  <c r="S45" i="2"/>
  <c r="R45" i="2"/>
  <c r="P45" i="2"/>
  <c r="O45" i="2"/>
  <c r="M45" i="2"/>
  <c r="L45" i="2"/>
  <c r="J45" i="2"/>
  <c r="I45" i="2"/>
  <c r="G45" i="2"/>
  <c r="F45" i="2"/>
  <c r="AE44" i="2"/>
  <c r="AD44" i="2"/>
  <c r="AB44" i="2"/>
  <c r="AA44" i="2"/>
  <c r="Y44" i="2"/>
  <c r="X44" i="2"/>
  <c r="V44" i="2"/>
  <c r="U44" i="2"/>
  <c r="S44" i="2"/>
  <c r="R44" i="2"/>
  <c r="P44" i="2"/>
  <c r="O44" i="2"/>
  <c r="M44" i="2"/>
  <c r="L44" i="2"/>
  <c r="J44" i="2"/>
  <c r="I44" i="2"/>
  <c r="G44" i="2"/>
  <c r="F44" i="2"/>
  <c r="AE43" i="2"/>
  <c r="AD43" i="2"/>
  <c r="AB43" i="2"/>
  <c r="AA43" i="2"/>
  <c r="Y43" i="2"/>
  <c r="X43" i="2"/>
  <c r="V43" i="2"/>
  <c r="U43" i="2"/>
  <c r="S43" i="2"/>
  <c r="R43" i="2"/>
  <c r="P43" i="2"/>
  <c r="O43" i="2"/>
  <c r="M43" i="2"/>
  <c r="L43" i="2"/>
  <c r="J43" i="2"/>
  <c r="I43" i="2"/>
  <c r="G43" i="2"/>
  <c r="F43" i="2"/>
  <c r="AE42" i="2"/>
  <c r="AD42" i="2"/>
  <c r="AB42" i="2"/>
  <c r="AA42" i="2"/>
  <c r="Y42" i="2"/>
  <c r="X42" i="2"/>
  <c r="V42" i="2"/>
  <c r="U42" i="2"/>
  <c r="S42" i="2"/>
  <c r="R42" i="2"/>
  <c r="P42" i="2"/>
  <c r="O42" i="2"/>
  <c r="M42" i="2"/>
  <c r="L42" i="2"/>
  <c r="J42" i="2"/>
  <c r="I42" i="2"/>
  <c r="G42" i="2"/>
  <c r="F42" i="2"/>
  <c r="AE40" i="2"/>
  <c r="AD40" i="2"/>
  <c r="AB40" i="2"/>
  <c r="AA40" i="2"/>
  <c r="Y40" i="2"/>
  <c r="X40" i="2"/>
  <c r="V40" i="2"/>
  <c r="U40" i="2"/>
  <c r="S40" i="2"/>
  <c r="R40" i="2"/>
  <c r="P40" i="2"/>
  <c r="O40" i="2"/>
  <c r="M40" i="2"/>
  <c r="L40" i="2"/>
  <c r="J40" i="2"/>
  <c r="I40" i="2"/>
  <c r="G40" i="2"/>
  <c r="F40" i="2"/>
  <c r="AE39" i="2"/>
  <c r="AD39" i="2"/>
  <c r="AB39" i="2"/>
  <c r="AA39" i="2"/>
  <c r="Y39" i="2"/>
  <c r="X39" i="2"/>
  <c r="V39" i="2"/>
  <c r="U39" i="2"/>
  <c r="S39" i="2"/>
  <c r="R39" i="2"/>
  <c r="P39" i="2"/>
  <c r="O39" i="2"/>
  <c r="M39" i="2"/>
  <c r="L39" i="2"/>
  <c r="J39" i="2"/>
  <c r="I39" i="2"/>
  <c r="G39" i="2"/>
  <c r="F39" i="2"/>
  <c r="AE36" i="2"/>
  <c r="AD36" i="2"/>
  <c r="AB36" i="2"/>
  <c r="AA36" i="2"/>
  <c r="Y36" i="2"/>
  <c r="X36" i="2"/>
  <c r="V36" i="2"/>
  <c r="U36" i="2"/>
  <c r="S36" i="2"/>
  <c r="R36" i="2"/>
  <c r="P36" i="2"/>
  <c r="O36" i="2"/>
  <c r="M36" i="2"/>
  <c r="L36" i="2"/>
  <c r="J36" i="2"/>
  <c r="I36" i="2"/>
  <c r="G36" i="2"/>
  <c r="F36" i="2"/>
  <c r="AE35" i="2"/>
  <c r="AD35" i="2"/>
  <c r="AB35" i="2"/>
  <c r="AA35" i="2"/>
  <c r="Y35" i="2"/>
  <c r="X35" i="2"/>
  <c r="V35" i="2"/>
  <c r="U35" i="2"/>
  <c r="S35" i="2"/>
  <c r="R35" i="2"/>
  <c r="P35" i="2"/>
  <c r="O35" i="2"/>
  <c r="M35" i="2"/>
  <c r="L35" i="2"/>
  <c r="J35" i="2"/>
  <c r="I35" i="2"/>
  <c r="G35" i="2"/>
  <c r="F35" i="2"/>
  <c r="AW33" i="2"/>
  <c r="AV33" i="2"/>
  <c r="AE33" i="2"/>
  <c r="AD33" i="2"/>
  <c r="AB33" i="2"/>
  <c r="AA33" i="2"/>
  <c r="Y33" i="2"/>
  <c r="X33" i="2"/>
  <c r="V33" i="2"/>
  <c r="U33" i="2"/>
  <c r="S33" i="2"/>
  <c r="R33" i="2"/>
  <c r="P33" i="2"/>
  <c r="O33" i="2"/>
  <c r="M33" i="2"/>
  <c r="L33" i="2"/>
  <c r="J33" i="2"/>
  <c r="I33" i="2"/>
  <c r="G33" i="2"/>
  <c r="F33" i="2"/>
  <c r="AW32" i="2"/>
  <c r="AV32" i="2"/>
  <c r="AE32" i="2"/>
  <c r="AD32" i="2"/>
  <c r="AB32" i="2"/>
  <c r="AA32" i="2"/>
  <c r="Y32" i="2"/>
  <c r="X32" i="2"/>
  <c r="V32" i="2"/>
  <c r="U32" i="2"/>
  <c r="S32" i="2"/>
  <c r="R32" i="2"/>
  <c r="P32" i="2"/>
  <c r="O32" i="2"/>
  <c r="M32" i="2"/>
  <c r="L32" i="2"/>
  <c r="J32" i="2"/>
  <c r="I32" i="2"/>
  <c r="G32" i="2"/>
  <c r="F32" i="2"/>
  <c r="AW30" i="2"/>
  <c r="AV30" i="2"/>
  <c r="AE30" i="2"/>
  <c r="AD30" i="2"/>
  <c r="AB30" i="2"/>
  <c r="AA30" i="2"/>
  <c r="Y30" i="2"/>
  <c r="X30" i="2"/>
  <c r="V30" i="2"/>
  <c r="U30" i="2"/>
  <c r="S30" i="2"/>
  <c r="R30" i="2"/>
  <c r="P30" i="2"/>
  <c r="O30" i="2"/>
  <c r="M30" i="2"/>
  <c r="L30" i="2"/>
  <c r="J30" i="2"/>
  <c r="I30" i="2"/>
  <c r="G30" i="2"/>
  <c r="F30" i="2"/>
  <c r="AW29" i="2"/>
  <c r="AV29" i="2"/>
  <c r="AE29" i="2"/>
  <c r="AD29" i="2"/>
  <c r="AB29" i="2"/>
  <c r="AA29" i="2"/>
  <c r="Y29" i="2"/>
  <c r="X29" i="2"/>
  <c r="V29" i="2"/>
  <c r="U29" i="2"/>
  <c r="S29" i="2"/>
  <c r="R29" i="2"/>
  <c r="P29" i="2"/>
  <c r="O29" i="2"/>
  <c r="M29" i="2"/>
  <c r="L29" i="2"/>
  <c r="J29" i="2"/>
  <c r="I29" i="2"/>
  <c r="G29" i="2"/>
  <c r="F29" i="2"/>
  <c r="AW28" i="2"/>
  <c r="AV28" i="2"/>
  <c r="AE28" i="2"/>
  <c r="AD28" i="2"/>
  <c r="AB28" i="2"/>
  <c r="AA28" i="2"/>
  <c r="Y28" i="2"/>
  <c r="X28" i="2"/>
  <c r="V28" i="2"/>
  <c r="U28" i="2"/>
  <c r="S28" i="2"/>
  <c r="R28" i="2"/>
  <c r="P28" i="2"/>
  <c r="O28" i="2"/>
  <c r="M28" i="2"/>
  <c r="L28" i="2"/>
  <c r="J28" i="2"/>
  <c r="I28" i="2"/>
  <c r="G28" i="2"/>
  <c r="F28" i="2"/>
  <c r="AW26" i="2"/>
  <c r="AV26" i="2"/>
  <c r="AE26" i="2"/>
  <c r="AD26" i="2"/>
  <c r="AB26" i="2"/>
  <c r="AA26" i="2"/>
  <c r="Y26" i="2"/>
  <c r="X26" i="2"/>
  <c r="V26" i="2"/>
  <c r="U26" i="2"/>
  <c r="S26" i="2"/>
  <c r="R26" i="2"/>
  <c r="P26" i="2"/>
  <c r="O26" i="2"/>
  <c r="M26" i="2"/>
  <c r="L26" i="2"/>
  <c r="J26" i="2"/>
  <c r="I26" i="2"/>
  <c r="G26" i="2"/>
  <c r="F26" i="2"/>
  <c r="AW25" i="2"/>
  <c r="AV25" i="2"/>
  <c r="AE25" i="2"/>
  <c r="AD25" i="2"/>
  <c r="AB25" i="2"/>
  <c r="AA25" i="2"/>
  <c r="Y25" i="2"/>
  <c r="X25" i="2"/>
  <c r="V25" i="2"/>
  <c r="U25" i="2"/>
  <c r="S25" i="2"/>
  <c r="R25" i="2"/>
  <c r="P25" i="2"/>
  <c r="O25" i="2"/>
  <c r="M25" i="2"/>
  <c r="L25" i="2"/>
  <c r="J25" i="2"/>
  <c r="I25" i="2"/>
  <c r="G25" i="2"/>
  <c r="F25" i="2"/>
  <c r="AW24" i="2"/>
  <c r="AV24" i="2"/>
  <c r="AE24" i="2"/>
  <c r="AD24" i="2"/>
  <c r="AB24" i="2"/>
  <c r="AA24" i="2"/>
  <c r="Y24" i="2"/>
  <c r="X24" i="2"/>
  <c r="V24" i="2"/>
  <c r="U24" i="2"/>
  <c r="S24" i="2"/>
  <c r="R24" i="2"/>
  <c r="P24" i="2"/>
  <c r="O24" i="2"/>
  <c r="M24" i="2"/>
  <c r="L24" i="2"/>
  <c r="J24" i="2"/>
  <c r="I24" i="2"/>
  <c r="G24" i="2"/>
  <c r="F24" i="2"/>
  <c r="AW23" i="2"/>
  <c r="AV23" i="2"/>
  <c r="AE23" i="2"/>
  <c r="AD23" i="2"/>
  <c r="AB23" i="2"/>
  <c r="AA23" i="2"/>
  <c r="Y23" i="2"/>
  <c r="X23" i="2"/>
  <c r="V23" i="2"/>
  <c r="U23" i="2"/>
  <c r="S23" i="2"/>
  <c r="R23" i="2"/>
  <c r="P23" i="2"/>
  <c r="O23" i="2"/>
  <c r="M23" i="2"/>
  <c r="L23" i="2"/>
  <c r="J23" i="2"/>
  <c r="I23" i="2"/>
  <c r="G23" i="2"/>
  <c r="F23" i="2"/>
  <c r="AW22" i="2"/>
  <c r="AV22" i="2"/>
  <c r="AE22" i="2"/>
  <c r="AD22" i="2"/>
  <c r="AB22" i="2"/>
  <c r="AA22" i="2"/>
  <c r="Y22" i="2"/>
  <c r="X22" i="2"/>
  <c r="V22" i="2"/>
  <c r="U22" i="2"/>
  <c r="S22" i="2"/>
  <c r="R22" i="2"/>
  <c r="P22" i="2"/>
  <c r="O22" i="2"/>
  <c r="M22" i="2"/>
  <c r="L22" i="2"/>
  <c r="J22" i="2"/>
  <c r="I22" i="2"/>
  <c r="G22" i="2"/>
  <c r="F22" i="2"/>
  <c r="AW21" i="2"/>
  <c r="AV21" i="2"/>
  <c r="AE21" i="2"/>
  <c r="AD21" i="2"/>
  <c r="AB21" i="2"/>
  <c r="AA21" i="2"/>
  <c r="Y21" i="2"/>
  <c r="X21" i="2"/>
  <c r="V21" i="2"/>
  <c r="U21" i="2"/>
  <c r="S21" i="2"/>
  <c r="R21" i="2"/>
  <c r="P21" i="2"/>
  <c r="O21" i="2"/>
  <c r="M21" i="2"/>
  <c r="L21" i="2"/>
  <c r="J21" i="2"/>
  <c r="I21" i="2"/>
  <c r="G21" i="2"/>
  <c r="F21" i="2"/>
  <c r="AW20" i="2"/>
  <c r="AV20" i="2"/>
  <c r="AE20" i="2"/>
  <c r="AD20" i="2"/>
  <c r="AB20" i="2"/>
  <c r="AA20" i="2"/>
  <c r="Y20" i="2"/>
  <c r="X20" i="2"/>
  <c r="V20" i="2"/>
  <c r="U20" i="2"/>
  <c r="S20" i="2"/>
  <c r="R20" i="2"/>
  <c r="P20" i="2"/>
  <c r="O20" i="2"/>
  <c r="M20" i="2"/>
  <c r="L20" i="2"/>
  <c r="J20" i="2"/>
  <c r="I20" i="2"/>
  <c r="G20" i="2"/>
  <c r="F20" i="2"/>
  <c r="AW19" i="2"/>
  <c r="AV19" i="2"/>
  <c r="AE19" i="2"/>
  <c r="AD19" i="2"/>
  <c r="AB19" i="2"/>
  <c r="AA19" i="2"/>
  <c r="Y19" i="2"/>
  <c r="X19" i="2"/>
  <c r="V19" i="2"/>
  <c r="U19" i="2"/>
  <c r="S19" i="2"/>
  <c r="R19" i="2"/>
  <c r="P19" i="2"/>
  <c r="O19" i="2"/>
  <c r="M19" i="2"/>
  <c r="L19" i="2"/>
  <c r="J19" i="2"/>
  <c r="I19" i="2"/>
  <c r="G19" i="2"/>
  <c r="F19" i="2"/>
  <c r="AW18" i="2"/>
  <c r="AV18" i="2"/>
  <c r="AE18" i="2"/>
  <c r="AD18" i="2"/>
  <c r="AB18" i="2"/>
  <c r="AA18" i="2"/>
  <c r="Y18" i="2"/>
  <c r="X18" i="2"/>
  <c r="V18" i="2"/>
  <c r="U18" i="2"/>
  <c r="S18" i="2"/>
  <c r="R18" i="2"/>
  <c r="P18" i="2"/>
  <c r="O18" i="2"/>
  <c r="M18" i="2"/>
  <c r="L18" i="2"/>
  <c r="J18" i="2"/>
  <c r="I18" i="2"/>
  <c r="G18" i="2"/>
  <c r="F18" i="2"/>
  <c r="AW17" i="2"/>
  <c r="AV17" i="2"/>
  <c r="AE17" i="2"/>
  <c r="AD17" i="2"/>
  <c r="AB17" i="2"/>
  <c r="AA17" i="2"/>
  <c r="Y17" i="2"/>
  <c r="X17" i="2"/>
  <c r="V17" i="2"/>
  <c r="U17" i="2"/>
  <c r="S17" i="2"/>
  <c r="R17" i="2"/>
  <c r="P17" i="2"/>
  <c r="O17" i="2"/>
  <c r="M17" i="2"/>
  <c r="L17" i="2"/>
  <c r="J17" i="2"/>
  <c r="I17" i="2"/>
  <c r="G17" i="2"/>
  <c r="F17" i="2"/>
  <c r="AW16" i="2"/>
  <c r="AV16" i="2"/>
  <c r="AE16" i="2"/>
  <c r="AD16" i="2"/>
  <c r="AB16" i="2"/>
  <c r="AA16" i="2"/>
  <c r="Y16" i="2"/>
  <c r="X16" i="2"/>
  <c r="V16" i="2"/>
  <c r="U16" i="2"/>
  <c r="S16" i="2"/>
  <c r="R16" i="2"/>
  <c r="P16" i="2"/>
  <c r="O16" i="2"/>
  <c r="M16" i="2"/>
  <c r="L16" i="2"/>
  <c r="J16" i="2"/>
  <c r="I16" i="2"/>
  <c r="G16" i="2"/>
  <c r="F16" i="2"/>
  <c r="AW13" i="2"/>
  <c r="AV13" i="2"/>
  <c r="AE13" i="2"/>
  <c r="AD13" i="2"/>
  <c r="AB13" i="2"/>
  <c r="AA13" i="2"/>
  <c r="Y13" i="2"/>
  <c r="X13" i="2"/>
  <c r="V13" i="2"/>
  <c r="U13" i="2"/>
  <c r="S13" i="2"/>
  <c r="R13" i="2"/>
  <c r="P13" i="2"/>
  <c r="O13" i="2"/>
  <c r="M13" i="2"/>
  <c r="L13" i="2"/>
  <c r="J13" i="2"/>
  <c r="I13" i="2"/>
  <c r="G13" i="2"/>
  <c r="F13" i="2"/>
  <c r="AW12" i="2"/>
  <c r="AV12" i="2"/>
  <c r="AE12" i="2"/>
  <c r="AD12" i="2"/>
  <c r="AB12" i="2"/>
  <c r="AA12" i="2"/>
  <c r="Y12" i="2"/>
  <c r="X12" i="2"/>
  <c r="V12" i="2"/>
  <c r="U12" i="2"/>
  <c r="S12" i="2"/>
  <c r="R12" i="2"/>
  <c r="P12" i="2"/>
  <c r="O12" i="2"/>
  <c r="M12" i="2"/>
  <c r="L12" i="2"/>
  <c r="J12" i="2"/>
  <c r="I12" i="2"/>
  <c r="G12" i="2"/>
  <c r="F12" i="2"/>
  <c r="AW11" i="2"/>
  <c r="AV11" i="2"/>
  <c r="AE11" i="2"/>
  <c r="AD11" i="2"/>
  <c r="AB11" i="2"/>
  <c r="AA11" i="2"/>
  <c r="Y11" i="2"/>
  <c r="X11" i="2"/>
  <c r="V11" i="2"/>
  <c r="U11" i="2"/>
  <c r="S11" i="2"/>
  <c r="R11" i="2"/>
  <c r="P11" i="2"/>
  <c r="O11" i="2"/>
  <c r="M11" i="2"/>
  <c r="L11" i="2"/>
  <c r="J11" i="2"/>
  <c r="I11" i="2"/>
  <c r="G11" i="2"/>
  <c r="F11" i="2"/>
  <c r="AW10" i="2"/>
  <c r="AV10" i="2"/>
  <c r="AE10" i="2"/>
  <c r="AD10" i="2"/>
  <c r="AB10" i="2"/>
  <c r="AA10" i="2"/>
  <c r="Y10" i="2"/>
  <c r="X10" i="2"/>
  <c r="V10" i="2"/>
  <c r="U10" i="2"/>
  <c r="S10" i="2"/>
  <c r="R10" i="2"/>
  <c r="P10" i="2"/>
  <c r="O10" i="2"/>
  <c r="M10" i="2"/>
  <c r="L10" i="2"/>
  <c r="J10" i="2"/>
  <c r="I10" i="2"/>
  <c r="G10" i="2"/>
  <c r="F10" i="2"/>
  <c r="AW9" i="2"/>
  <c r="AV9" i="2"/>
  <c r="AE9" i="2"/>
  <c r="AD9" i="2"/>
  <c r="AB9" i="2"/>
  <c r="AA9" i="2"/>
  <c r="Y9" i="2"/>
  <c r="X9" i="2"/>
  <c r="V9" i="2"/>
  <c r="U9" i="2"/>
  <c r="S9" i="2"/>
  <c r="R9" i="2"/>
  <c r="P9" i="2"/>
  <c r="O9" i="2"/>
  <c r="M9" i="2"/>
  <c r="L9" i="2"/>
  <c r="J9" i="2"/>
  <c r="I9" i="2"/>
  <c r="G9" i="2"/>
  <c r="F9" i="2"/>
  <c r="AW8" i="2"/>
  <c r="AV8" i="2"/>
  <c r="AE8" i="2"/>
  <c r="AD8" i="2"/>
  <c r="AB8" i="2"/>
  <c r="AA8" i="2"/>
  <c r="Y8" i="2"/>
  <c r="X8" i="2"/>
  <c r="V8" i="2"/>
  <c r="U8" i="2"/>
  <c r="S8" i="2"/>
  <c r="R8" i="2"/>
  <c r="P8" i="2"/>
  <c r="O8" i="2"/>
  <c r="M8" i="2"/>
  <c r="L8" i="2"/>
  <c r="J8" i="2"/>
  <c r="I8" i="2"/>
  <c r="G8" i="2"/>
  <c r="F8" i="2"/>
  <c r="AY52" i="2" l="1"/>
  <c r="AY57" i="2"/>
  <c r="AZ54" i="2"/>
  <c r="AZ60" i="2"/>
  <c r="AY66" i="2"/>
  <c r="AZ45" i="2"/>
  <c r="AY43" i="2"/>
  <c r="AY48" i="2"/>
  <c r="AZ36" i="2"/>
  <c r="AZ68" i="2"/>
  <c r="AZ43" i="2"/>
  <c r="AZ48" i="2"/>
  <c r="AZ52" i="2"/>
  <c r="AZ57" i="2"/>
  <c r="BA57" i="2" s="1"/>
  <c r="AZ62" i="2"/>
  <c r="AZ66" i="2"/>
  <c r="AY35" i="2"/>
  <c r="AY44" i="2"/>
  <c r="AY53" i="2"/>
  <c r="AY58" i="2"/>
  <c r="AY67" i="2"/>
  <c r="AZ35" i="2"/>
  <c r="AZ44" i="2"/>
  <c r="AZ53" i="2"/>
  <c r="AZ58" i="2"/>
  <c r="AZ67" i="2"/>
  <c r="AY36" i="2"/>
  <c r="AY45" i="2"/>
  <c r="AY54" i="2"/>
  <c r="AY68" i="2"/>
  <c r="AY47" i="2"/>
  <c r="AY56" i="2"/>
  <c r="AY61" i="2"/>
  <c r="AY65" i="2"/>
  <c r="AZ42" i="2"/>
  <c r="AZ47" i="2"/>
  <c r="AZ56" i="2"/>
  <c r="AZ61" i="2"/>
  <c r="AZ65" i="2"/>
  <c r="AY62" i="2"/>
  <c r="AY49" i="2"/>
  <c r="AZ49" i="2"/>
  <c r="AY40" i="2"/>
  <c r="AZ40" i="2"/>
  <c r="AY64" i="2"/>
  <c r="AZ64" i="2"/>
  <c r="AY60" i="2"/>
  <c r="AY51" i="2"/>
  <c r="AZ51" i="2"/>
  <c r="AY42" i="2"/>
  <c r="AZ39" i="2"/>
  <c r="AY39" i="2"/>
  <c r="AY10" i="2"/>
  <c r="AY12" i="2"/>
  <c r="AY17" i="2"/>
  <c r="AY19" i="2"/>
  <c r="AY21" i="2"/>
  <c r="AY23" i="2"/>
  <c r="AY25" i="2"/>
  <c r="AY29" i="2"/>
  <c r="AY33" i="2"/>
  <c r="AY9" i="2"/>
  <c r="AY11" i="2"/>
  <c r="AY16" i="2"/>
  <c r="AY22" i="2"/>
  <c r="AY26" i="2"/>
  <c r="AY30" i="2"/>
  <c r="AY13" i="2"/>
  <c r="AY18" i="2"/>
  <c r="AY20" i="2"/>
  <c r="AY24" i="2"/>
  <c r="AY28" i="2"/>
  <c r="AY32" i="2"/>
  <c r="AZ10" i="2"/>
  <c r="AZ19" i="2"/>
  <c r="AZ12" i="2"/>
  <c r="AZ17" i="2"/>
  <c r="AZ21" i="2"/>
  <c r="AZ23" i="2"/>
  <c r="AZ25" i="2"/>
  <c r="AZ29" i="2"/>
  <c r="AZ8" i="2"/>
  <c r="AZ33" i="2"/>
  <c r="AZ9" i="2"/>
  <c r="AZ16" i="2"/>
  <c r="AZ18" i="2"/>
  <c r="AZ20" i="2"/>
  <c r="AZ22" i="2"/>
  <c r="AZ24" i="2"/>
  <c r="AZ26" i="2"/>
  <c r="AZ28" i="2"/>
  <c r="AZ30" i="2"/>
  <c r="AZ32" i="2"/>
  <c r="AZ11" i="2"/>
  <c r="AZ13" i="2"/>
  <c r="AY8" i="2"/>
  <c r="V77" i="2"/>
  <c r="AW77" i="2"/>
  <c r="O77" i="2"/>
  <c r="L77" i="2"/>
  <c r="AX77" i="2"/>
  <c r="I77" i="2"/>
  <c r="U77" i="2"/>
  <c r="J77" i="2"/>
  <c r="M77" i="2"/>
  <c r="Y77" i="2"/>
  <c r="AA77" i="2"/>
  <c r="AB77" i="2"/>
  <c r="F77" i="2"/>
  <c r="AD77" i="2"/>
  <c r="AE77" i="2"/>
  <c r="G77" i="2"/>
  <c r="S77" i="2"/>
  <c r="AV77" i="2"/>
  <c r="P77" i="2"/>
  <c r="R77" i="2"/>
  <c r="X77" i="2"/>
  <c r="BA68" i="2" l="1"/>
  <c r="BA45" i="2"/>
  <c r="BA36" i="2"/>
  <c r="BA52" i="2"/>
  <c r="BA54" i="2"/>
  <c r="BA43" i="2"/>
  <c r="BA42" i="2"/>
  <c r="BA48" i="2"/>
  <c r="BA49" i="2"/>
  <c r="BA60" i="2"/>
  <c r="BA51" i="2"/>
  <c r="BA62" i="2"/>
  <c r="BA67" i="2"/>
  <c r="BA65" i="2"/>
  <c r="BA58" i="2"/>
  <c r="BA61" i="2"/>
  <c r="BA66" i="2"/>
  <c r="BA40" i="2"/>
  <c r="BA35" i="2"/>
  <c r="BA56" i="2"/>
  <c r="BA53" i="2"/>
  <c r="BA47" i="2"/>
  <c r="BA44" i="2"/>
  <c r="BA64" i="2"/>
  <c r="BA39" i="2"/>
  <c r="BA23" i="2"/>
  <c r="BA13" i="2"/>
  <c r="BA21" i="2"/>
  <c r="BA25" i="2"/>
  <c r="BA9" i="2"/>
  <c r="BA18" i="2"/>
  <c r="BA11" i="2"/>
  <c r="BA20" i="2"/>
  <c r="BA22" i="2"/>
  <c r="BA30" i="2"/>
  <c r="BA10" i="2"/>
  <c r="BA32" i="2"/>
  <c r="BA24" i="2"/>
  <c r="BA28" i="2"/>
  <c r="BA17" i="2"/>
  <c r="BA16" i="2"/>
  <c r="BA19" i="2"/>
  <c r="BA12" i="2"/>
  <c r="BA26" i="2"/>
  <c r="BA33" i="2"/>
  <c r="BA29" i="2"/>
  <c r="BA8" i="2"/>
  <c r="AY77" i="2"/>
  <c r="BA77" i="2" l="1"/>
  <c r="AZ77" i="2"/>
</calcChain>
</file>

<file path=xl/sharedStrings.xml><?xml version="1.0" encoding="utf-8"?>
<sst xmlns="http://schemas.openxmlformats.org/spreadsheetml/2006/main" count="804" uniqueCount="164">
  <si>
    <t>No</t>
  </si>
  <si>
    <t xml:space="preserve">Jenis </t>
  </si>
  <si>
    <t xml:space="preserve"> 
HARGA 
BELI</t>
  </si>
  <si>
    <t>HARGA JUAL</t>
  </si>
  <si>
    <t>PLASTIK</t>
  </si>
  <si>
    <t>PET Kotor</t>
  </si>
  <si>
    <t>PET Bersih Bening</t>
  </si>
  <si>
    <t>PET Bersih Biru Muda</t>
  </si>
  <si>
    <t>PET Bersih Warna</t>
  </si>
  <si>
    <t>PET Bersih Campur</t>
  </si>
  <si>
    <t>Putihan (HDPE &amp; jenis lainnya)</t>
  </si>
  <si>
    <t>Tutup PET (HDPE)</t>
  </si>
  <si>
    <t>Tutup Galon (LDPE)</t>
  </si>
  <si>
    <t>Tutup campur</t>
  </si>
  <si>
    <t>PP Emberan Campur</t>
  </si>
  <si>
    <t>PP Emberan warna</t>
  </si>
  <si>
    <t>PP Emberan Hitam</t>
  </si>
  <si>
    <t>Aqua Gelas Kotor</t>
  </si>
  <si>
    <t>Aqua Gelas Bersih</t>
  </si>
  <si>
    <t>Mountea/Sablon</t>
  </si>
  <si>
    <t>PVC</t>
  </si>
  <si>
    <t>PC Galon UTUH / BIJI</t>
  </si>
  <si>
    <t>PC Galon PECAH / KG</t>
  </si>
  <si>
    <t>Plastik Bening PE &amp; PP</t>
  </si>
  <si>
    <t>HD Kresek</t>
  </si>
  <si>
    <t>Kresek Campur</t>
  </si>
  <si>
    <t>KERASAN</t>
  </si>
  <si>
    <t>KERTAS</t>
  </si>
  <si>
    <t>Buku Tulis/Buku Pelajaran</t>
  </si>
  <si>
    <t>HVS</t>
  </si>
  <si>
    <t>Majalah</t>
  </si>
  <si>
    <t>Koran</t>
  </si>
  <si>
    <t>Duplek</t>
  </si>
  <si>
    <t>Kardus</t>
  </si>
  <si>
    <t>Kertas Campur</t>
  </si>
  <si>
    <t>LOGAM</t>
  </si>
  <si>
    <t>Besi Kaleng (Omplong)</t>
  </si>
  <si>
    <t>Besi B (Tipis)</t>
  </si>
  <si>
    <t>Besi A (Tebal &amp; Padat)</t>
  </si>
  <si>
    <t>Aluminium Tebal</t>
  </si>
  <si>
    <t>Tembaga</t>
  </si>
  <si>
    <t>Logam campur</t>
  </si>
  <si>
    <t>KACA</t>
  </si>
  <si>
    <t>Botol Bir Bintang Besar/biji</t>
  </si>
  <si>
    <t>Botol Bir Bintang Kecil/biji</t>
  </si>
  <si>
    <t>Botol Kaca Campur</t>
  </si>
  <si>
    <t>OTHER</t>
  </si>
  <si>
    <t>Tetra Pack</t>
  </si>
  <si>
    <t>Minyak Jelantah</t>
  </si>
  <si>
    <t>Sponge/Sepatu/Sandal Bekas</t>
  </si>
  <si>
    <t>Kulit kabel</t>
  </si>
  <si>
    <t>Yakult</t>
  </si>
  <si>
    <t>Tray Telur</t>
  </si>
  <si>
    <t>TOTAL</t>
  </si>
  <si>
    <t>NB : Harga dapat berubah sewaktu-waktu</t>
  </si>
  <si>
    <t>NOMOR INDUK NASABAH</t>
  </si>
  <si>
    <t>Berat Setoran</t>
  </si>
  <si>
    <t>Total Harga Jual</t>
  </si>
  <si>
    <t>Total Harga Beli</t>
  </si>
  <si>
    <t>BERAT SETORAN</t>
  </si>
  <si>
    <t>DATA BALI WASTE CYCLE</t>
  </si>
  <si>
    <t>HARGA BELI</t>
  </si>
  <si>
    <t>JENIS</t>
  </si>
  <si>
    <t>NO</t>
  </si>
  <si>
    <t>TOTAL BELI</t>
  </si>
  <si>
    <t>TOTAL JUAL</t>
  </si>
  <si>
    <t>MARGIN</t>
  </si>
  <si>
    <t>KETERANGAN</t>
  </si>
  <si>
    <t>Tutup HD, LD, PP Campur</t>
  </si>
  <si>
    <t>Plastik kantong bening tanpa label</t>
  </si>
  <si>
    <t>Rapi dan bersih</t>
  </si>
  <si>
    <t>Botol bir dengan label masih bagus</t>
  </si>
  <si>
    <t>Rongsok Campur</t>
  </si>
  <si>
    <t>PET KW 2</t>
  </si>
  <si>
    <t>PLASTIK RIGID / BERBENTUK</t>
  </si>
  <si>
    <t>Jerigen Bening bersih/ Jirigen minyak</t>
  </si>
  <si>
    <r>
      <rPr>
        <sz val="11"/>
        <rFont val="Calibri"/>
        <family val="2"/>
      </rPr>
      <t>Jerigen warna / bening tapi
mangkak</t>
    </r>
  </si>
  <si>
    <r>
      <rPr>
        <sz val="11"/>
        <rFont val="Calibri"/>
        <family val="2"/>
      </rPr>
      <t>Campuran plastik kemasan berbentuk dan
kaleng  (bukan kresek/plastik lembaran)</t>
    </r>
  </si>
  <si>
    <t>Semua warna kecuali hitam, perabotan RT, piring plastik, meja plastik, kursi plastik, baskom, sikat gigi, sisir (lebih keras dan tipis)</t>
  </si>
  <si>
    <t>Galon air minuman semua merk kondisi pecah</t>
  </si>
  <si>
    <r>
      <rPr>
        <sz val="11"/>
        <rFont val="Calibri"/>
        <family val="2"/>
      </rPr>
      <t xml:space="preserve">Jerigen warna bening seperti jerigen minyak, alkohol, sabun, pewangi, kecap,dll </t>
    </r>
    <r>
      <rPr>
        <b/>
        <sz val="11"/>
        <rFont val="Calibri"/>
        <family val="2"/>
      </rPr>
      <t>TANPA ISI</t>
    </r>
  </si>
  <si>
    <r>
      <rPr>
        <sz val="11"/>
        <rFont val="Calibri"/>
        <family val="2"/>
      </rPr>
      <t>Jika tercampur hitam ikut harga emberan
hitam</t>
    </r>
  </si>
  <si>
    <r>
      <rPr>
        <sz val="11"/>
        <rFont val="Calibri"/>
        <family val="2"/>
      </rPr>
      <t>Galon air minuman semua merk kondisi utuh
kecuali galon cleo</t>
    </r>
  </si>
  <si>
    <t>GELASAN</t>
  </si>
  <si>
    <r>
      <rPr>
        <sz val="11"/>
        <rFont val="Calibri"/>
        <family val="2"/>
      </rPr>
      <t xml:space="preserve">PP Gelas masih berlabel dan belum di lepas
ringnya (Aqua, club)  </t>
    </r>
    <r>
      <rPr>
        <b/>
        <sz val="11"/>
        <rFont val="Calibri"/>
        <family val="2"/>
      </rPr>
      <t>TANPA AIR</t>
    </r>
  </si>
  <si>
    <t>PLASTIK FLEKSIBEL / LEMBARAN</t>
  </si>
  <si>
    <t>Kemasan minyak goreng, sabun cuci cair, sabun cuci piring, kemasan kispray, shampoo refill, dll</t>
  </si>
  <si>
    <t>LLDPE Pouch</t>
  </si>
  <si>
    <t>PP Sablon lembaran</t>
  </si>
  <si>
    <t>Multi Layer</t>
  </si>
  <si>
    <r>
      <rPr>
        <sz val="11"/>
        <rFont val="Calibri"/>
        <family val="2"/>
      </rPr>
      <t>Kantong plastik kresek semua warna, polos
(non sablon)</t>
    </r>
  </si>
  <si>
    <r>
      <rPr>
        <sz val="11"/>
        <rFont val="Calibri"/>
        <family val="2"/>
      </rPr>
      <t>Bungkus mie instan, roti kue, diaper/popok
(yang tidak ada lapisan foil)</t>
    </r>
  </si>
  <si>
    <t>Kerasan / PS/ ABS</t>
  </si>
  <si>
    <r>
      <rPr>
        <sz val="11"/>
        <rFont val="Calibri"/>
        <family val="2"/>
      </rPr>
      <t>Pipa, paralon semua warna, pintu
plastik, talang air, dll)</t>
    </r>
  </si>
  <si>
    <t>Kertas Buram/LKS/warna</t>
  </si>
  <si>
    <t>Isi dalam LKS, kertas nota, kertas coklat</t>
  </si>
  <si>
    <t>Seng / paku</t>
  </si>
  <si>
    <t>Aluminium Kaleng/tipis</t>
  </si>
  <si>
    <t>Logam Campur</t>
  </si>
  <si>
    <t>Lembaran, keras, balok, styrofoam tempat makan yang sudah terlepas dari stiker, kertas nasi dan isolasi</t>
  </si>
  <si>
    <t>Styrofoam Bersih</t>
  </si>
  <si>
    <t>Net &amp; PE Foam</t>
  </si>
  <si>
    <t>Accu per kg</t>
  </si>
  <si>
    <t>Yang masih bagus</t>
  </si>
  <si>
    <t>Kelapa Daksina</t>
  </si>
  <si>
    <t>Tanpa isi</t>
  </si>
  <si>
    <t>Boncos</t>
  </si>
  <si>
    <t>Karung bekas beras / kampil rusak</t>
  </si>
  <si>
    <t>Krat</t>
  </si>
  <si>
    <r>
      <rPr>
        <sz val="11"/>
        <rFont val="Calibri"/>
        <family val="2"/>
      </rPr>
      <t xml:space="preserve">Jenis kulit </t>
    </r>
    <r>
      <rPr>
        <b/>
        <sz val="11"/>
        <rFont val="Calibri"/>
        <family val="2"/>
      </rPr>
      <t xml:space="preserve">BUKAN </t>
    </r>
    <r>
      <rPr>
        <sz val="11"/>
        <rFont val="Calibri"/>
        <family val="2"/>
      </rPr>
      <t xml:space="preserve">karet </t>
    </r>
    <r>
      <rPr>
        <b/>
        <sz val="11"/>
        <rFont val="Calibri"/>
        <family val="2"/>
      </rPr>
      <t xml:space="preserve">BUKAN </t>
    </r>
    <r>
      <rPr>
        <sz val="11"/>
        <rFont val="Calibri"/>
        <family val="2"/>
      </rPr>
      <t>spons</t>
    </r>
  </si>
  <si>
    <t>005 Inka</t>
  </si>
  <si>
    <t>036 Listina</t>
  </si>
  <si>
    <t>010 Bernadeth</t>
  </si>
  <si>
    <t>REKAP JUAL BELI SAMPAH NASABAH BALI ARUM (BALI WASTE CYCLE)</t>
  </si>
  <si>
    <t>001 Nining</t>
  </si>
  <si>
    <t>016 K. Nining</t>
  </si>
  <si>
    <t>TANGGAL : 8 Agustus2026</t>
  </si>
  <si>
    <t>042 Bu Intan</t>
  </si>
  <si>
    <t>058 Sawitri</t>
  </si>
  <si>
    <t>045 Inggrid</t>
  </si>
  <si>
    <t>059 Edvin</t>
  </si>
  <si>
    <t>041 Yanti</t>
  </si>
  <si>
    <t>Botol dan gelas minum yang masih berlabel
tutup (tanpa air/isi)</t>
  </si>
  <si>
    <t>Botol minyak, botol saos sejenis kotor bekas penggunaan</t>
  </si>
  <si>
    <t>Botol air mineral bening tanpa label &amp; tutup (Ades, Club, Vit Sejenis)</t>
  </si>
  <si>
    <t>Botol warna tanpa label &amp; tutup (Mizone, Sprite), Tidak termasuk PET putih (Milku)</t>
  </si>
  <si>
    <r>
      <t xml:space="preserve">Botol air mineral </t>
    </r>
    <r>
      <rPr>
        <b/>
        <sz val="11"/>
        <rFont val="Calibri"/>
        <family val="2"/>
      </rPr>
      <t>Biru Muda</t>
    </r>
    <r>
      <rPr>
        <sz val="11"/>
        <rFont val="Calibri"/>
        <family val="2"/>
      </rPr>
      <t xml:space="preserve"> tanpa label (Aqua, Le Minerale)</t>
    </r>
  </si>
  <si>
    <t>Botol campur bening dan biru muda tanpa label dan tutup</t>
  </si>
  <si>
    <t>Jerigen Bening bersih/Jerigen minyak</t>
  </si>
  <si>
    <t>Jerigen warna/bening tapi
mangkak</t>
  </si>
  <si>
    <r>
      <t xml:space="preserve">Botol kosmetik (botol shampo, sabun cair, bedak, botol oli, dll) </t>
    </r>
    <r>
      <rPr>
        <b/>
        <sz val="11"/>
        <rFont val="Calibri"/>
        <family val="2"/>
      </rPr>
      <t>TANPA ISI</t>
    </r>
  </si>
  <si>
    <r>
      <t xml:space="preserve">Jerigen oli, dll yang berwarna </t>
    </r>
    <r>
      <rPr>
        <b/>
        <sz val="11"/>
        <rFont val="Calibri"/>
        <family val="2"/>
      </rPr>
      <t>TANPA ISI</t>
    </r>
  </si>
  <si>
    <t>Tutup botol Aqua, Vit, Pocari, Sprite, dll</t>
  </si>
  <si>
    <t>Tutup galon air mineral/isi ulang</t>
  </si>
  <si>
    <t>Semua emberan warna hitam (pot bunga, hanger hitam, timba hitam, body hitam, dll)</t>
  </si>
  <si>
    <r>
      <t xml:space="preserve">PP Gelas </t>
    </r>
    <r>
      <rPr>
        <b/>
        <sz val="11"/>
        <rFont val="Calibri"/>
        <family val="2"/>
      </rPr>
      <t xml:space="preserve">BERSIH TANPA Label </t>
    </r>
    <r>
      <rPr>
        <sz val="11"/>
        <rFont val="Calibri"/>
        <family val="2"/>
      </rPr>
      <t>dan tutup</t>
    </r>
  </si>
  <si>
    <r>
      <t xml:space="preserve">Gelas putih dan bening sablon masih berlabel dan tutup (Mountea, Ale-Ale, Teh Gelas, Teh Rio, Chatime, dll) </t>
    </r>
    <r>
      <rPr>
        <b/>
        <sz val="11"/>
        <rFont val="Calibri"/>
        <family val="2"/>
      </rPr>
      <t>TANPA AIR</t>
    </r>
  </si>
  <si>
    <r>
      <t xml:space="preserve">Plastik yang masih tercampur </t>
    </r>
    <r>
      <rPr>
        <b/>
        <sz val="11"/>
        <rFont val="Calibri"/>
        <family val="2"/>
      </rPr>
      <t>TANPA MULTILAYER</t>
    </r>
  </si>
  <si>
    <t>LLDPE Pouch/Single Layer</t>
  </si>
  <si>
    <t>PC Galon PECAH (/Kg)</t>
  </si>
  <si>
    <t>PC Galon UTUH (/biji)</t>
  </si>
  <si>
    <t>Sachet makanan ringan/snack, sachet kopi (ada lapisan aluminium)</t>
  </si>
  <si>
    <t>Tempat kaset, rak kulkas, toples kue sendok bening, kaca helm, tumbler, body korek gas, dll</t>
  </si>
  <si>
    <t>Semua buku tulis dan pelajaran putih/cetak</t>
  </si>
  <si>
    <t>Kertas HVS dengan atau tanpa tulisan atau buku cetakan kertas putih</t>
  </si>
  <si>
    <t>Kertas art paper mengkilap (majalah, brosur, poster)</t>
  </si>
  <si>
    <t>Semua kertas tebal berwarna (map, cover buku/majalah, bungkus rokok, kotak makanan, snack, kotak obat, kotak odol, bungkus sabun, kotak susu, dll)</t>
  </si>
  <si>
    <t>Kardus kering berongga</t>
  </si>
  <si>
    <t>Campur buku, HVS, Majalah, tabloid, koran</t>
  </si>
  <si>
    <t>Kaleng susu, Khong Guan, Monde, Bear Brand, kaleng Baygon, cat, dll</t>
  </si>
  <si>
    <t>Kabin, plat tipis kendaraan, kompor bekas, Argo, dll</t>
  </si>
  <si>
    <t>Besi batangan dan padat, ranjang, pipa, plat, beton, baut, linggis dll</t>
  </si>
  <si>
    <t>Segala jenis seng, kawat, payung, paku</t>
  </si>
  <si>
    <t>Kaleng minuman, mudah diremas (Coca-cola, Sprite, Larutan, Bintang, Pocari, Adem Sari)</t>
  </si>
  <si>
    <t>Siku, body panci tebal, dll (padat dan berat)</t>
  </si>
  <si>
    <t>Seng/paku</t>
  </si>
  <si>
    <t>Kerasan/PS/ABS</t>
  </si>
  <si>
    <t>Botol Bir Bintang Besar (/biji)</t>
  </si>
  <si>
    <t>Botol Bir Bintang Kecil (/biji)</t>
  </si>
  <si>
    <t>Bening dan berwarna, botol minuman YouC1000, botol sirup, selai, minyak wangi, Kratingdaeng, botol kecap, saos, beling/pecahan botol, kecuali cermin</t>
  </si>
  <si>
    <t>Jaring buah/net foam, PE foam/lembaran foam wadah buah, bubble wrap</t>
  </si>
  <si>
    <t>Kemasan minuman dalam kertas, Teh Kotak, kotak susu, dll</t>
  </si>
  <si>
    <t>Sudah tidak ada airnya</t>
  </si>
  <si>
    <t>Boncos/Karung Beras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</si>
</sst>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0">
    <xf numFmtId="0" fontId="0" fillId="0" borderId="0" xfId="0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1" applyNumberFormat="1" applyFont="1" applyAlignment="1">
      <alignment horizontal="center" vertical="center"/>
    </xf>
    <xf numFmtId="43" fontId="0" fillId="0" borderId="0" xfId="1" applyFont="1" applyAlignment="1">
      <alignment vertical="center"/>
    </xf>
    <xf numFmtId="0" fontId="0" fillId="0" borderId="0" xfId="0" applyAlignment="1">
      <alignment vertical="center"/>
    </xf>
    <xf numFmtId="4" fontId="2" fillId="4" borderId="1" xfId="0" applyNumberFormat="1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vertical="center"/>
    </xf>
    <xf numFmtId="4" fontId="0" fillId="0" borderId="1" xfId="1" applyNumberFormat="1" applyFont="1" applyBorder="1" applyAlignment="1">
      <alignment horizontal="center" vertical="center"/>
    </xf>
    <xf numFmtId="43" fontId="0" fillId="0" borderId="1" xfId="1" applyFont="1" applyBorder="1" applyAlignment="1">
      <alignment vertical="center"/>
    </xf>
    <xf numFmtId="43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0" xfId="1" applyNumberFormat="1" applyFont="1" applyAlignment="1">
      <alignment horizontal="center" vertical="center"/>
    </xf>
    <xf numFmtId="2" fontId="2" fillId="4" borderId="1" xfId="1" applyNumberFormat="1" applyFont="1" applyFill="1" applyBorder="1" applyAlignment="1">
      <alignment horizontal="center" vertical="center" wrapText="1"/>
    </xf>
    <xf numFmtId="2" fontId="0" fillId="0" borderId="1" xfId="1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vertical="center"/>
    </xf>
    <xf numFmtId="2" fontId="2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43" fontId="0" fillId="0" borderId="1" xfId="1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/>
    </xf>
    <xf numFmtId="0" fontId="6" fillId="0" borderId="8" xfId="0" applyFont="1" applyBorder="1" applyAlignment="1">
      <alignment horizontal="left" vertical="center" wrapText="1"/>
    </xf>
    <xf numFmtId="1" fontId="7" fillId="0" borderId="8" xfId="0" applyNumberFormat="1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left" vertical="center" wrapText="1"/>
    </xf>
    <xf numFmtId="3" fontId="2" fillId="3" borderId="1" xfId="1" applyNumberFormat="1" applyFont="1" applyFill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 vertical="center" shrinkToFit="1"/>
    </xf>
    <xf numFmtId="1" fontId="9" fillId="0" borderId="8" xfId="0" applyNumberFormat="1" applyFont="1" applyBorder="1" applyAlignment="1">
      <alignment horizontal="center" vertical="center" shrinkToFit="1"/>
    </xf>
    <xf numFmtId="3" fontId="10" fillId="0" borderId="0" xfId="0" applyNumberFormat="1" applyFont="1" applyAlignment="1">
      <alignment horizontal="center" vertical="center" shrinkToFit="1"/>
    </xf>
    <xf numFmtId="3" fontId="2" fillId="0" borderId="0" xfId="1" applyNumberFormat="1" applyFont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3" fontId="9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left" vertical="center" wrapText="1"/>
    </xf>
    <xf numFmtId="1" fontId="7" fillId="0" borderId="9" xfId="0" applyNumberFormat="1" applyFont="1" applyBorder="1" applyAlignment="1">
      <alignment horizontal="center" vertical="center" shrinkToFit="1"/>
    </xf>
    <xf numFmtId="0" fontId="6" fillId="0" borderId="9" xfId="0" applyFont="1" applyBorder="1" applyAlignment="1">
      <alignment horizontal="left" vertical="center" wrapText="1"/>
    </xf>
    <xf numFmtId="1" fontId="9" fillId="0" borderId="9" xfId="0" applyNumberFormat="1" applyFont="1" applyBorder="1" applyAlignment="1">
      <alignment horizontal="center" vertical="center" shrinkToFit="1"/>
    </xf>
    <xf numFmtId="3" fontId="9" fillId="0" borderId="1" xfId="0" applyNumberFormat="1" applyFont="1" applyBorder="1" applyAlignment="1">
      <alignment horizontal="center" vertical="center" shrinkToFit="1"/>
    </xf>
    <xf numFmtId="3" fontId="9" fillId="0" borderId="11" xfId="0" applyNumberFormat="1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7" fillId="0" borderId="11" xfId="0" applyNumberFormat="1" applyFont="1" applyBorder="1" applyAlignment="1">
      <alignment horizontal="center" vertical="center" shrinkToFit="1"/>
    </xf>
    <xf numFmtId="1" fontId="7" fillId="0" borderId="0" xfId="0" applyNumberFormat="1" applyFont="1" applyAlignment="1">
      <alignment horizontal="center" vertical="center" shrinkToFit="1"/>
    </xf>
    <xf numFmtId="0" fontId="2" fillId="0" borderId="1" xfId="0" applyFont="1" applyBorder="1" applyAlignment="1">
      <alignment vertical="center"/>
    </xf>
    <xf numFmtId="0" fontId="2" fillId="2" borderId="1" xfId="0" quotePrefix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4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4" fillId="2" borderId="1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3" fontId="4" fillId="2" borderId="5" xfId="1" applyNumberFormat="1" applyFont="1" applyFill="1" applyBorder="1" applyAlignment="1">
      <alignment horizontal="center" vertical="center" wrapText="1"/>
    </xf>
    <xf numFmtId="3" fontId="4" fillId="2" borderId="6" xfId="1" applyNumberFormat="1" applyFont="1" applyFill="1" applyBorder="1" applyAlignment="1">
      <alignment horizontal="center" vertical="center" wrapText="1"/>
    </xf>
    <xf numFmtId="3" fontId="4" fillId="2" borderId="7" xfId="1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3C2A-A64A-490E-B5E4-B0AE90231E73}">
  <dimension ref="A1:E77"/>
  <sheetViews>
    <sheetView tabSelected="1" zoomScale="150" workbookViewId="0">
      <pane xSplit="2" ySplit="6" topLeftCell="C31" activePane="bottomRight" state="frozen"/>
      <selection pane="topRight" activeCell="E1" sqref="E1"/>
      <selection pane="bottomLeft" activeCell="A6" sqref="A6"/>
      <selection pane="bottomRight" activeCell="E8" sqref="E8"/>
    </sheetView>
  </sheetViews>
  <sheetFormatPr baseColWidth="10" defaultColWidth="8.83203125" defaultRowHeight="14.5" customHeight="1" x14ac:dyDescent="0.2"/>
  <cols>
    <col min="1" max="1" width="8.83203125" style="12"/>
    <col min="2" max="2" width="25.6640625" style="15" bestFit="1" customWidth="1"/>
    <col min="3" max="3" width="10.1640625" style="60" bestFit="1" customWidth="1"/>
    <col min="4" max="4" width="11.6640625" style="60" bestFit="1" customWidth="1"/>
    <col min="5" max="5" width="55.33203125" style="15" customWidth="1"/>
    <col min="6" max="16384" width="8.83203125" style="15"/>
  </cols>
  <sheetData>
    <row r="1" spans="1:5" ht="18" customHeight="1" x14ac:dyDescent="0.2">
      <c r="A1" s="80" t="s">
        <v>60</v>
      </c>
      <c r="B1" s="80"/>
      <c r="C1" s="80"/>
      <c r="D1" s="80"/>
    </row>
    <row r="2" spans="1:5" ht="18" customHeight="1" x14ac:dyDescent="0.2">
      <c r="A2" s="80" t="str">
        <f>'Setoran 1'!A2:R2</f>
        <v>TANGGAL : 8 Agustus2026</v>
      </c>
      <c r="B2" s="80"/>
      <c r="C2" s="80"/>
      <c r="D2" s="80"/>
    </row>
    <row r="4" spans="1:5" s="12" customFormat="1" ht="14.5" customHeight="1" x14ac:dyDescent="0.2">
      <c r="A4" s="85" t="s">
        <v>0</v>
      </c>
      <c r="B4" s="85" t="s">
        <v>1</v>
      </c>
      <c r="C4" s="86" t="s">
        <v>2</v>
      </c>
      <c r="D4" s="87" t="s">
        <v>3</v>
      </c>
      <c r="E4" s="85" t="s">
        <v>67</v>
      </c>
    </row>
    <row r="5" spans="1:5" s="12" customFormat="1" ht="14.5" customHeight="1" x14ac:dyDescent="0.2">
      <c r="A5" s="85"/>
      <c r="B5" s="85"/>
      <c r="C5" s="86"/>
      <c r="D5" s="87"/>
      <c r="E5" s="85"/>
    </row>
    <row r="6" spans="1:5" s="12" customFormat="1" ht="29" customHeight="1" x14ac:dyDescent="0.2">
      <c r="A6" s="85"/>
      <c r="B6" s="85"/>
      <c r="C6" s="86"/>
      <c r="D6" s="87"/>
      <c r="E6" s="85"/>
    </row>
    <row r="7" spans="1:5" ht="14.5" customHeight="1" x14ac:dyDescent="0.2">
      <c r="A7" s="78" t="s">
        <v>4</v>
      </c>
      <c r="B7" s="78"/>
      <c r="C7" s="40"/>
      <c r="D7" s="40"/>
      <c r="E7" s="28"/>
    </row>
    <row r="8" spans="1:5" ht="32" x14ac:dyDescent="0.2">
      <c r="A8" s="23">
        <v>1</v>
      </c>
      <c r="B8" s="53" t="s">
        <v>72</v>
      </c>
      <c r="C8" s="57">
        <v>400</v>
      </c>
      <c r="D8" s="57">
        <v>500</v>
      </c>
      <c r="E8" s="61" t="s">
        <v>77</v>
      </c>
    </row>
    <row r="9" spans="1:5" ht="14.5" customHeight="1" x14ac:dyDescent="0.2">
      <c r="A9" s="23">
        <v>2</v>
      </c>
      <c r="B9" s="53" t="s">
        <v>5</v>
      </c>
      <c r="C9" s="57">
        <v>400</v>
      </c>
      <c r="D9" s="57">
        <v>500</v>
      </c>
      <c r="E9" s="53" t="s">
        <v>122</v>
      </c>
    </row>
    <row r="10" spans="1:5" ht="16" x14ac:dyDescent="0.2">
      <c r="A10" s="23">
        <v>3</v>
      </c>
      <c r="B10" s="53" t="s">
        <v>73</v>
      </c>
      <c r="C10" s="57">
        <v>300</v>
      </c>
      <c r="D10" s="57">
        <v>400</v>
      </c>
      <c r="E10" s="53" t="s">
        <v>123</v>
      </c>
    </row>
    <row r="11" spans="1:5" ht="14.5" customHeight="1" x14ac:dyDescent="0.2">
      <c r="A11" s="23">
        <v>4</v>
      </c>
      <c r="B11" s="53" t="s">
        <v>6</v>
      </c>
      <c r="C11" s="57">
        <v>2800</v>
      </c>
      <c r="D11" s="57">
        <v>3000</v>
      </c>
      <c r="E11" s="53" t="s">
        <v>124</v>
      </c>
    </row>
    <row r="12" spans="1:5" ht="16" x14ac:dyDescent="0.2">
      <c r="A12" s="23">
        <v>5</v>
      </c>
      <c r="B12" s="53" t="s">
        <v>7</v>
      </c>
      <c r="C12" s="57">
        <v>2400</v>
      </c>
      <c r="D12" s="57">
        <v>2500</v>
      </c>
      <c r="E12" s="53" t="s">
        <v>126</v>
      </c>
    </row>
    <row r="13" spans="1:5" ht="32" x14ac:dyDescent="0.2">
      <c r="A13" s="23">
        <v>6</v>
      </c>
      <c r="B13" s="53" t="s">
        <v>8</v>
      </c>
      <c r="C13" s="57">
        <v>700</v>
      </c>
      <c r="D13" s="57">
        <v>800</v>
      </c>
      <c r="E13" s="53" t="s">
        <v>125</v>
      </c>
    </row>
    <row r="14" spans="1:5" ht="16" x14ac:dyDescent="0.2">
      <c r="A14" s="23">
        <v>7</v>
      </c>
      <c r="B14" s="53" t="s">
        <v>9</v>
      </c>
      <c r="C14" s="57">
        <v>1600</v>
      </c>
      <c r="D14" s="57">
        <v>1700</v>
      </c>
      <c r="E14" s="53" t="s">
        <v>127</v>
      </c>
    </row>
    <row r="15" spans="1:5" ht="32" x14ac:dyDescent="0.2">
      <c r="A15" s="23">
        <v>8</v>
      </c>
      <c r="B15" s="53" t="s">
        <v>10</v>
      </c>
      <c r="C15" s="57">
        <v>1800</v>
      </c>
      <c r="D15" s="57">
        <v>2000</v>
      </c>
      <c r="E15" s="53" t="s">
        <v>130</v>
      </c>
    </row>
    <row r="16" spans="1:5" ht="32" x14ac:dyDescent="0.2">
      <c r="A16" s="23">
        <v>9</v>
      </c>
      <c r="B16" s="53" t="s">
        <v>128</v>
      </c>
      <c r="C16" s="57">
        <v>2400</v>
      </c>
      <c r="D16" s="57">
        <v>2500</v>
      </c>
      <c r="E16" s="61" t="s">
        <v>80</v>
      </c>
    </row>
    <row r="17" spans="1:5" ht="28.5" customHeight="1" x14ac:dyDescent="0.2">
      <c r="A17" s="23">
        <v>10</v>
      </c>
      <c r="B17" s="53" t="s">
        <v>129</v>
      </c>
      <c r="C17" s="57">
        <v>1900</v>
      </c>
      <c r="D17" s="57">
        <v>2000</v>
      </c>
      <c r="E17" s="53" t="s">
        <v>131</v>
      </c>
    </row>
    <row r="18" spans="1:5" ht="14.5" customHeight="1" x14ac:dyDescent="0.2">
      <c r="A18" s="23">
        <v>11</v>
      </c>
      <c r="B18" s="53" t="s">
        <v>11</v>
      </c>
      <c r="C18" s="57">
        <v>1800</v>
      </c>
      <c r="D18" s="57">
        <v>2000</v>
      </c>
      <c r="E18" s="53" t="s">
        <v>132</v>
      </c>
    </row>
    <row r="19" spans="1:5" ht="14.5" customHeight="1" x14ac:dyDescent="0.2">
      <c r="A19" s="23">
        <v>12</v>
      </c>
      <c r="B19" s="53" t="s">
        <v>12</v>
      </c>
      <c r="C19" s="57">
        <v>1700</v>
      </c>
      <c r="D19" s="57">
        <v>1800</v>
      </c>
      <c r="E19" s="53" t="s">
        <v>133</v>
      </c>
    </row>
    <row r="20" spans="1:5" ht="14.5" customHeight="1" x14ac:dyDescent="0.2">
      <c r="A20" s="23">
        <v>13</v>
      </c>
      <c r="B20" s="53" t="s">
        <v>13</v>
      </c>
      <c r="C20" s="57"/>
      <c r="D20" s="57"/>
      <c r="E20" s="53" t="s">
        <v>68</v>
      </c>
    </row>
    <row r="21" spans="1:5" ht="32" x14ac:dyDescent="0.2">
      <c r="A21" s="23">
        <v>14</v>
      </c>
      <c r="B21" s="53" t="s">
        <v>14</v>
      </c>
      <c r="C21" s="57">
        <v>900</v>
      </c>
      <c r="D21" s="57">
        <v>1000</v>
      </c>
      <c r="E21" s="61" t="s">
        <v>81</v>
      </c>
    </row>
    <row r="22" spans="1:5" ht="32" x14ac:dyDescent="0.2">
      <c r="A22" s="23">
        <v>15</v>
      </c>
      <c r="B22" s="53" t="s">
        <v>15</v>
      </c>
      <c r="C22" s="57">
        <v>900</v>
      </c>
      <c r="D22" s="57">
        <v>1000</v>
      </c>
      <c r="E22" s="53" t="s">
        <v>78</v>
      </c>
    </row>
    <row r="23" spans="1:5" ht="32" x14ac:dyDescent="0.2">
      <c r="A23" s="23">
        <v>16</v>
      </c>
      <c r="B23" s="53" t="s">
        <v>16</v>
      </c>
      <c r="C23" s="58">
        <v>900</v>
      </c>
      <c r="D23" s="58">
        <v>1000</v>
      </c>
      <c r="E23" s="53" t="s">
        <v>134</v>
      </c>
    </row>
    <row r="24" spans="1:5" ht="14.5" customHeight="1" x14ac:dyDescent="0.2">
      <c r="A24" s="23">
        <v>17</v>
      </c>
      <c r="B24" s="53" t="s">
        <v>140</v>
      </c>
      <c r="C24" s="57">
        <v>1300</v>
      </c>
      <c r="D24" s="57">
        <v>1500</v>
      </c>
      <c r="E24" s="61" t="s">
        <v>82</v>
      </c>
    </row>
    <row r="25" spans="1:5" ht="14.5" customHeight="1" x14ac:dyDescent="0.2">
      <c r="A25" s="23">
        <v>18</v>
      </c>
      <c r="B25" s="53" t="s">
        <v>139</v>
      </c>
      <c r="C25" s="57">
        <v>800</v>
      </c>
      <c r="D25" s="57">
        <v>1000</v>
      </c>
      <c r="E25" s="53" t="s">
        <v>79</v>
      </c>
    </row>
    <row r="26" spans="1:5" ht="14.5" customHeight="1" x14ac:dyDescent="0.2">
      <c r="A26" s="23">
        <v>19</v>
      </c>
      <c r="B26" s="53" t="s">
        <v>17</v>
      </c>
      <c r="C26" s="57">
        <v>1100</v>
      </c>
      <c r="D26" s="57">
        <v>1200</v>
      </c>
      <c r="E26" s="61" t="s">
        <v>84</v>
      </c>
    </row>
    <row r="27" spans="1:5" ht="14.5" customHeight="1" x14ac:dyDescent="0.2">
      <c r="A27" s="23">
        <v>20</v>
      </c>
      <c r="B27" s="53" t="s">
        <v>18</v>
      </c>
      <c r="C27" s="57">
        <v>1900</v>
      </c>
      <c r="D27" s="57">
        <v>2000</v>
      </c>
      <c r="E27" s="53" t="s">
        <v>135</v>
      </c>
    </row>
    <row r="28" spans="1:5" ht="32" x14ac:dyDescent="0.2">
      <c r="A28" s="23">
        <v>21</v>
      </c>
      <c r="B28" s="53" t="s">
        <v>19</v>
      </c>
      <c r="C28" s="57">
        <v>900</v>
      </c>
      <c r="D28" s="57">
        <v>1000</v>
      </c>
      <c r="E28" s="53" t="s">
        <v>136</v>
      </c>
    </row>
    <row r="29" spans="1:5" ht="14.5" customHeight="1" x14ac:dyDescent="0.2">
      <c r="A29" s="23">
        <v>22</v>
      </c>
      <c r="B29" s="53" t="s">
        <v>23</v>
      </c>
      <c r="C29" s="58">
        <v>400</v>
      </c>
      <c r="D29" s="58">
        <v>500</v>
      </c>
      <c r="E29" s="53" t="s">
        <v>69</v>
      </c>
    </row>
    <row r="30" spans="1:5" ht="14.5" customHeight="1" x14ac:dyDescent="0.2">
      <c r="A30" s="23">
        <v>23</v>
      </c>
      <c r="B30" s="53" t="s">
        <v>24</v>
      </c>
      <c r="C30" s="58">
        <v>50</v>
      </c>
      <c r="D30" s="58">
        <v>100</v>
      </c>
      <c r="E30" s="61" t="s">
        <v>90</v>
      </c>
    </row>
    <row r="31" spans="1:5" ht="16" x14ac:dyDescent="0.2">
      <c r="A31" s="23">
        <v>24</v>
      </c>
      <c r="B31" s="53" t="s">
        <v>25</v>
      </c>
      <c r="C31" s="58">
        <v>50</v>
      </c>
      <c r="D31" s="58">
        <v>100</v>
      </c>
      <c r="E31" s="53" t="s">
        <v>137</v>
      </c>
    </row>
    <row r="32" spans="1:5" ht="14.5" customHeight="1" x14ac:dyDescent="0.2">
      <c r="A32" s="23">
        <v>25</v>
      </c>
      <c r="B32" s="53" t="s">
        <v>138</v>
      </c>
      <c r="C32" s="58">
        <v>40</v>
      </c>
      <c r="D32" s="58">
        <v>50</v>
      </c>
      <c r="E32" s="53" t="s">
        <v>86</v>
      </c>
    </row>
    <row r="33" spans="1:5" ht="14.5" customHeight="1" x14ac:dyDescent="0.2">
      <c r="A33" s="23">
        <v>26</v>
      </c>
      <c r="B33" s="53" t="s">
        <v>88</v>
      </c>
      <c r="C33" s="58">
        <v>40</v>
      </c>
      <c r="D33" s="58">
        <v>50</v>
      </c>
      <c r="E33" s="61" t="s">
        <v>91</v>
      </c>
    </row>
    <row r="34" spans="1:5" ht="16" x14ac:dyDescent="0.2">
      <c r="A34" s="23">
        <v>27</v>
      </c>
      <c r="B34" s="99" t="s">
        <v>89</v>
      </c>
      <c r="C34" s="58">
        <v>250</v>
      </c>
      <c r="D34" s="58">
        <v>300</v>
      </c>
      <c r="E34" s="53" t="s">
        <v>141</v>
      </c>
    </row>
    <row r="35" spans="1:5" ht="32" x14ac:dyDescent="0.2">
      <c r="A35" s="23">
        <v>28</v>
      </c>
      <c r="B35" s="55" t="s">
        <v>156</v>
      </c>
      <c r="C35" s="58">
        <v>75</v>
      </c>
      <c r="D35" s="58">
        <v>100</v>
      </c>
      <c r="E35" s="53" t="s">
        <v>142</v>
      </c>
    </row>
    <row r="36" spans="1:5" ht="32" x14ac:dyDescent="0.2">
      <c r="A36" s="23">
        <v>29</v>
      </c>
      <c r="B36" s="53" t="s">
        <v>20</v>
      </c>
      <c r="C36" s="58">
        <v>50</v>
      </c>
      <c r="D36" s="58">
        <v>100</v>
      </c>
      <c r="E36" s="61" t="s">
        <v>93</v>
      </c>
    </row>
    <row r="37" spans="1:5" ht="14.5" customHeight="1" x14ac:dyDescent="0.2">
      <c r="A37" s="70" t="s">
        <v>27</v>
      </c>
      <c r="B37" s="50"/>
      <c r="C37" s="56"/>
      <c r="D37" s="43"/>
      <c r="E37" s="50"/>
    </row>
    <row r="38" spans="1:5" ht="14.5" customHeight="1" x14ac:dyDescent="0.2">
      <c r="A38" s="26">
        <v>1</v>
      </c>
      <c r="B38" s="53" t="s">
        <v>28</v>
      </c>
      <c r="C38" s="57">
        <v>1100</v>
      </c>
      <c r="D38" s="57">
        <v>1200</v>
      </c>
      <c r="E38" s="53" t="s">
        <v>143</v>
      </c>
    </row>
    <row r="39" spans="1:5" ht="16" x14ac:dyDescent="0.2">
      <c r="A39" s="23">
        <v>2</v>
      </c>
      <c r="B39" s="53" t="s">
        <v>29</v>
      </c>
      <c r="C39" s="57">
        <v>1100</v>
      </c>
      <c r="D39" s="57">
        <v>1200</v>
      </c>
      <c r="E39" s="53" t="s">
        <v>144</v>
      </c>
    </row>
    <row r="40" spans="1:5" ht="14.5" customHeight="1" x14ac:dyDescent="0.2">
      <c r="A40" s="23">
        <v>3</v>
      </c>
      <c r="B40" s="53" t="s">
        <v>94</v>
      </c>
      <c r="C40" s="58">
        <v>450</v>
      </c>
      <c r="D40" s="58">
        <v>500</v>
      </c>
      <c r="E40" s="53" t="s">
        <v>95</v>
      </c>
    </row>
    <row r="41" spans="1:5" ht="16" x14ac:dyDescent="0.2">
      <c r="A41" s="23">
        <v>4</v>
      </c>
      <c r="B41" s="53" t="s">
        <v>30</v>
      </c>
      <c r="C41" s="58">
        <v>400</v>
      </c>
      <c r="D41" s="58">
        <v>500</v>
      </c>
      <c r="E41" s="53" t="s">
        <v>145</v>
      </c>
    </row>
    <row r="42" spans="1:5" ht="14.5" customHeight="1" x14ac:dyDescent="0.2">
      <c r="A42" s="23">
        <v>5</v>
      </c>
      <c r="B42" s="53" t="s">
        <v>31</v>
      </c>
      <c r="C42" s="57">
        <v>1800</v>
      </c>
      <c r="D42" s="57">
        <v>2000</v>
      </c>
      <c r="E42" s="53" t="s">
        <v>70</v>
      </c>
    </row>
    <row r="43" spans="1:5" ht="48" x14ac:dyDescent="0.2">
      <c r="A43" s="23">
        <v>6</v>
      </c>
      <c r="B43" s="53" t="s">
        <v>32</v>
      </c>
      <c r="C43" s="58">
        <v>75</v>
      </c>
      <c r="D43" s="58">
        <v>100</v>
      </c>
      <c r="E43" s="53" t="s">
        <v>146</v>
      </c>
    </row>
    <row r="44" spans="1:5" ht="14.5" customHeight="1" x14ac:dyDescent="0.2">
      <c r="A44" s="23">
        <v>7</v>
      </c>
      <c r="B44" s="53" t="s">
        <v>33</v>
      </c>
      <c r="C44" s="57">
        <v>700</v>
      </c>
      <c r="D44" s="57">
        <v>800</v>
      </c>
      <c r="E44" s="53" t="s">
        <v>147</v>
      </c>
    </row>
    <row r="45" spans="1:5" ht="16" x14ac:dyDescent="0.2">
      <c r="A45" s="23">
        <v>8</v>
      </c>
      <c r="B45" s="53" t="s">
        <v>34</v>
      </c>
      <c r="C45" s="57">
        <v>75</v>
      </c>
      <c r="D45" s="57">
        <v>100</v>
      </c>
      <c r="E45" s="53" t="s">
        <v>148</v>
      </c>
    </row>
    <row r="46" spans="1:5" ht="14.5" customHeight="1" x14ac:dyDescent="0.2">
      <c r="A46" s="51" t="s">
        <v>35</v>
      </c>
      <c r="B46" s="5"/>
      <c r="C46" s="40"/>
      <c r="D46" s="42"/>
      <c r="E46" s="28"/>
    </row>
    <row r="47" spans="1:5" ht="16" x14ac:dyDescent="0.2">
      <c r="A47" s="71">
        <v>1</v>
      </c>
      <c r="B47" s="53" t="s">
        <v>36</v>
      </c>
      <c r="C47" s="57">
        <v>1000</v>
      </c>
      <c r="D47" s="57">
        <v>1500</v>
      </c>
      <c r="E47" s="53" t="s">
        <v>149</v>
      </c>
    </row>
    <row r="48" spans="1:5" ht="16" x14ac:dyDescent="0.2">
      <c r="A48" s="71">
        <v>2</v>
      </c>
      <c r="B48" s="53" t="s">
        <v>37</v>
      </c>
      <c r="C48" s="57">
        <v>1100</v>
      </c>
      <c r="D48" s="57">
        <v>1200</v>
      </c>
      <c r="E48" s="53" t="s">
        <v>150</v>
      </c>
    </row>
    <row r="49" spans="1:5" ht="16" x14ac:dyDescent="0.2">
      <c r="A49" s="71">
        <v>3</v>
      </c>
      <c r="B49" s="53" t="s">
        <v>38</v>
      </c>
      <c r="C49" s="57">
        <v>2300</v>
      </c>
      <c r="D49" s="57">
        <v>2500</v>
      </c>
      <c r="E49" s="53" t="s">
        <v>151</v>
      </c>
    </row>
    <row r="50" spans="1:5" ht="16" x14ac:dyDescent="0.2">
      <c r="A50" s="71">
        <v>4</v>
      </c>
      <c r="B50" s="53" t="s">
        <v>155</v>
      </c>
      <c r="C50" s="58">
        <v>200</v>
      </c>
      <c r="D50" s="58">
        <v>300</v>
      </c>
      <c r="E50" s="53" t="s">
        <v>152</v>
      </c>
    </row>
    <row r="51" spans="1:5" ht="32" x14ac:dyDescent="0.2">
      <c r="A51" s="71">
        <v>5</v>
      </c>
      <c r="B51" s="53" t="s">
        <v>97</v>
      </c>
      <c r="C51" s="57">
        <v>4500</v>
      </c>
      <c r="D51" s="57">
        <v>5000</v>
      </c>
      <c r="E51" s="53" t="s">
        <v>153</v>
      </c>
    </row>
    <row r="52" spans="1:5" ht="14.5" customHeight="1" x14ac:dyDescent="0.2">
      <c r="A52" s="71">
        <v>6</v>
      </c>
      <c r="B52" s="53" t="s">
        <v>39</v>
      </c>
      <c r="C52" s="57">
        <v>6500</v>
      </c>
      <c r="D52" s="57">
        <v>7000</v>
      </c>
      <c r="E52" s="53" t="s">
        <v>154</v>
      </c>
    </row>
    <row r="53" spans="1:5" ht="14.5" customHeight="1" x14ac:dyDescent="0.2">
      <c r="A53" s="71">
        <v>7</v>
      </c>
      <c r="B53" s="53" t="s">
        <v>40</v>
      </c>
      <c r="C53" s="57">
        <v>28000</v>
      </c>
      <c r="D53" s="57">
        <v>30000</v>
      </c>
      <c r="E53" s="61"/>
    </row>
    <row r="54" spans="1:5" ht="14.5" customHeight="1" x14ac:dyDescent="0.2">
      <c r="A54" s="71">
        <v>8</v>
      </c>
      <c r="B54" s="53" t="s">
        <v>98</v>
      </c>
      <c r="C54" s="58"/>
      <c r="D54" s="58"/>
      <c r="E54" s="53" t="s">
        <v>98</v>
      </c>
    </row>
    <row r="55" spans="1:5" ht="14.5" customHeight="1" x14ac:dyDescent="0.2">
      <c r="A55" s="51" t="s">
        <v>42</v>
      </c>
      <c r="B55" s="5"/>
      <c r="C55" s="40"/>
      <c r="D55" s="42"/>
      <c r="E55" s="25"/>
    </row>
    <row r="56" spans="1:5" ht="14.5" customHeight="1" x14ac:dyDescent="0.2">
      <c r="A56" s="23">
        <v>1</v>
      </c>
      <c r="B56" s="25" t="s">
        <v>157</v>
      </c>
      <c r="C56" s="58">
        <v>700</v>
      </c>
      <c r="D56" s="58">
        <v>800</v>
      </c>
      <c r="E56" s="53" t="s">
        <v>71</v>
      </c>
    </row>
    <row r="57" spans="1:5" ht="14.5" customHeight="1" x14ac:dyDescent="0.2">
      <c r="A57" s="23">
        <v>2</v>
      </c>
      <c r="B57" s="25" t="s">
        <v>158</v>
      </c>
      <c r="C57" s="58">
        <v>150</v>
      </c>
      <c r="D57" s="58">
        <v>200</v>
      </c>
      <c r="E57" s="53" t="s">
        <v>71</v>
      </c>
    </row>
    <row r="58" spans="1:5" ht="48" x14ac:dyDescent="0.2">
      <c r="A58" s="23">
        <v>3</v>
      </c>
      <c r="B58" s="25" t="s">
        <v>45</v>
      </c>
      <c r="C58" s="58">
        <v>50</v>
      </c>
      <c r="D58" s="58">
        <v>100</v>
      </c>
      <c r="E58" s="53" t="s">
        <v>159</v>
      </c>
    </row>
    <row r="59" spans="1:5" ht="14.5" customHeight="1" x14ac:dyDescent="0.2">
      <c r="A59" s="51" t="s">
        <v>46</v>
      </c>
      <c r="B59" s="5"/>
      <c r="C59" s="40"/>
      <c r="D59" s="42"/>
      <c r="E59" s="28"/>
    </row>
    <row r="60" spans="1:5" ht="32" x14ac:dyDescent="0.2">
      <c r="A60" s="71">
        <v>1</v>
      </c>
      <c r="B60" s="53" t="s">
        <v>100</v>
      </c>
      <c r="C60" s="58">
        <v>150</v>
      </c>
      <c r="D60" s="58">
        <v>200</v>
      </c>
      <c r="E60" s="53" t="s">
        <v>99</v>
      </c>
    </row>
    <row r="61" spans="1:5" ht="32" x14ac:dyDescent="0.2">
      <c r="A61" s="71">
        <v>2</v>
      </c>
      <c r="B61" s="53" t="s">
        <v>101</v>
      </c>
      <c r="C61" s="58"/>
      <c r="D61" s="58"/>
      <c r="E61" s="53" t="s">
        <v>160</v>
      </c>
    </row>
    <row r="62" spans="1:5" ht="16" x14ac:dyDescent="0.2">
      <c r="A62" s="71">
        <v>3</v>
      </c>
      <c r="B62" s="53" t="s">
        <v>47</v>
      </c>
      <c r="C62" s="58">
        <v>150</v>
      </c>
      <c r="D62" s="58">
        <v>200</v>
      </c>
      <c r="E62" s="53" t="s">
        <v>161</v>
      </c>
    </row>
    <row r="63" spans="1:5" ht="14.5" customHeight="1" x14ac:dyDescent="0.2">
      <c r="A63" s="71">
        <v>4</v>
      </c>
      <c r="B63" s="53" t="s">
        <v>102</v>
      </c>
      <c r="C63" s="57"/>
      <c r="D63" s="57"/>
      <c r="E63" s="53" t="s">
        <v>162</v>
      </c>
    </row>
    <row r="64" spans="1:5" ht="14.5" customHeight="1" x14ac:dyDescent="0.2">
      <c r="A64" s="71"/>
      <c r="B64" s="53"/>
      <c r="C64" s="57"/>
      <c r="D64" s="57"/>
      <c r="E64" s="53"/>
    </row>
    <row r="65" spans="1:5" ht="14.5" customHeight="1" x14ac:dyDescent="0.2">
      <c r="A65" s="71">
        <v>6</v>
      </c>
      <c r="B65" s="53" t="s">
        <v>49</v>
      </c>
      <c r="C65" s="58"/>
      <c r="D65" s="58"/>
      <c r="E65" s="61" t="s">
        <v>109</v>
      </c>
    </row>
    <row r="66" spans="1:5" ht="14.5" customHeight="1" x14ac:dyDescent="0.2">
      <c r="A66" s="71">
        <v>7</v>
      </c>
      <c r="B66" s="53" t="s">
        <v>52</v>
      </c>
      <c r="C66" s="58">
        <v>150</v>
      </c>
      <c r="D66" s="58">
        <v>200</v>
      </c>
      <c r="E66" s="53" t="s">
        <v>103</v>
      </c>
    </row>
    <row r="67" spans="1:5" ht="14.5" customHeight="1" x14ac:dyDescent="0.2">
      <c r="A67" s="71">
        <v>8</v>
      </c>
      <c r="B67" s="53" t="s">
        <v>51</v>
      </c>
      <c r="C67" s="58">
        <v>450</v>
      </c>
      <c r="D67" s="58">
        <v>500</v>
      </c>
      <c r="E67" s="61"/>
    </row>
    <row r="68" spans="1:5" ht="14.5" customHeight="1" x14ac:dyDescent="0.2">
      <c r="A68" s="71"/>
      <c r="B68" s="53"/>
      <c r="C68" s="58"/>
      <c r="D68" s="58"/>
      <c r="E68" s="53"/>
    </row>
    <row r="69" spans="1:5" ht="14.5" customHeight="1" x14ac:dyDescent="0.2">
      <c r="A69" s="71">
        <v>10</v>
      </c>
      <c r="B69" s="53" t="s">
        <v>50</v>
      </c>
      <c r="C69" s="58">
        <v>200</v>
      </c>
      <c r="D69" s="58">
        <v>300</v>
      </c>
      <c r="E69" s="53" t="s">
        <v>105</v>
      </c>
    </row>
    <row r="70" spans="1:5" ht="14.5" customHeight="1" x14ac:dyDescent="0.2">
      <c r="A70" s="71">
        <v>11</v>
      </c>
      <c r="B70" s="53" t="s">
        <v>163</v>
      </c>
      <c r="C70" s="66">
        <v>400</v>
      </c>
      <c r="D70" s="58">
        <v>500</v>
      </c>
      <c r="E70" s="53" t="s">
        <v>107</v>
      </c>
    </row>
    <row r="71" spans="1:5" ht="14.5" customHeight="1" x14ac:dyDescent="0.2">
      <c r="A71" s="71"/>
      <c r="B71" s="53"/>
      <c r="C71" s="67"/>
      <c r="D71" s="68"/>
      <c r="E71" s="69"/>
    </row>
    <row r="72" spans="1:5" ht="14.5" customHeight="1" x14ac:dyDescent="0.2">
      <c r="A72" s="23"/>
      <c r="B72" s="25"/>
      <c r="C72" s="42"/>
      <c r="D72" s="42"/>
      <c r="E72" s="28"/>
    </row>
    <row r="73" spans="1:5" ht="14.5" customHeight="1" x14ac:dyDescent="0.2">
      <c r="A73" s="23"/>
      <c r="B73" s="25"/>
      <c r="C73" s="42"/>
      <c r="D73" s="42"/>
      <c r="E73" s="28"/>
    </row>
    <row r="74" spans="1:5" ht="14.5" customHeight="1" x14ac:dyDescent="0.2">
      <c r="A74" s="51" t="s">
        <v>53</v>
      </c>
      <c r="B74" s="25"/>
      <c r="C74" s="42"/>
      <c r="D74" s="42"/>
      <c r="E74" s="28"/>
    </row>
    <row r="75" spans="1:5" ht="14.5" customHeight="1" x14ac:dyDescent="0.2">
      <c r="A75" s="51" t="s">
        <v>54</v>
      </c>
      <c r="B75" s="5"/>
      <c r="C75" s="40"/>
      <c r="D75" s="40"/>
      <c r="E75" s="28"/>
    </row>
    <row r="76" spans="1:5" ht="14.5" customHeight="1" x14ac:dyDescent="0.2">
      <c r="A76" s="27"/>
      <c r="B76" s="28"/>
      <c r="C76" s="41"/>
      <c r="D76" s="41"/>
      <c r="E76" s="28"/>
    </row>
    <row r="77" spans="1:5" ht="14.5" customHeight="1" x14ac:dyDescent="0.2">
      <c r="A77" s="27"/>
      <c r="B77" s="28"/>
      <c r="C77" s="41"/>
      <c r="D77" s="41"/>
      <c r="E77" s="28"/>
    </row>
  </sheetData>
  <mergeCells count="8">
    <mergeCell ref="E4:E6"/>
    <mergeCell ref="A1:D1"/>
    <mergeCell ref="A2:D2"/>
    <mergeCell ref="A7:B7"/>
    <mergeCell ref="A4:A6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11C4-DC99-43A6-BC7E-82F56A620395}">
  <dimension ref="A1:R80"/>
  <sheetViews>
    <sheetView zoomScale="120" zoomScaleNormal="120" workbookViewId="0">
      <pane xSplit="2" ySplit="6" topLeftCell="C56" activePane="bottomRight" state="frozen"/>
      <selection pane="topRight" activeCell="C1" sqref="C1"/>
      <selection pane="bottomLeft" activeCell="A7" sqref="A7"/>
      <selection pane="bottomRight" activeCell="J67" sqref="J67"/>
    </sheetView>
  </sheetViews>
  <sheetFormatPr baseColWidth="10" defaultColWidth="8.83203125" defaultRowHeight="15" x14ac:dyDescent="0.2"/>
  <cols>
    <col min="2" max="2" width="25.6640625" bestFit="1" customWidth="1"/>
    <col min="3" max="3" width="8.83203125" customWidth="1"/>
    <col min="4" max="8" width="7.6640625" customWidth="1"/>
    <col min="9" max="9" width="8.5" customWidth="1"/>
    <col min="10" max="17" width="7.6640625" customWidth="1"/>
    <col min="18" max="18" width="9.6640625" style="8" customWidth="1"/>
  </cols>
  <sheetData>
    <row r="1" spans="1:18" ht="39" customHeight="1" x14ac:dyDescent="0.25">
      <c r="A1" s="88" t="s">
        <v>113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 ht="18" customHeight="1" x14ac:dyDescent="0.2">
      <c r="A2" s="80" t="s">
        <v>116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4" spans="1:18" s="8" customFormat="1" ht="14.5" customHeight="1" x14ac:dyDescent="0.2">
      <c r="A4" s="83" t="s">
        <v>63</v>
      </c>
      <c r="B4" s="83" t="s">
        <v>62</v>
      </c>
      <c r="C4" s="89" t="s">
        <v>59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1"/>
      <c r="R4" s="81" t="s">
        <v>53</v>
      </c>
    </row>
    <row r="5" spans="1:18" s="8" customFormat="1" ht="14.5" customHeight="1" x14ac:dyDescent="0.2">
      <c r="A5" s="83"/>
      <c r="B5" s="83"/>
      <c r="C5" s="89" t="s">
        <v>55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  <c r="R5" s="81"/>
    </row>
    <row r="6" spans="1:18" s="8" customFormat="1" ht="40.75" customHeight="1" x14ac:dyDescent="0.2">
      <c r="A6" s="83"/>
      <c r="B6" s="83"/>
      <c r="C6" s="74" t="s">
        <v>112</v>
      </c>
      <c r="D6" s="74" t="s">
        <v>117</v>
      </c>
      <c r="E6" s="74" t="s">
        <v>118</v>
      </c>
      <c r="F6" s="74" t="s">
        <v>115</v>
      </c>
      <c r="G6" s="74" t="s">
        <v>119</v>
      </c>
      <c r="H6" s="74" t="s">
        <v>114</v>
      </c>
      <c r="I6" s="74" t="s">
        <v>110</v>
      </c>
      <c r="J6" s="74" t="s">
        <v>120</v>
      </c>
      <c r="K6" s="74" t="s">
        <v>111</v>
      </c>
      <c r="L6" s="74" t="s">
        <v>121</v>
      </c>
      <c r="M6" s="74"/>
      <c r="N6" s="74"/>
      <c r="O6" s="74"/>
      <c r="P6" s="74"/>
      <c r="Q6" s="74"/>
      <c r="R6" s="81"/>
    </row>
    <row r="7" spans="1:18" ht="14.5" customHeight="1" x14ac:dyDescent="0.2">
      <c r="A7" s="78" t="s">
        <v>4</v>
      </c>
      <c r="B7" s="78"/>
      <c r="C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9"/>
    </row>
    <row r="8" spans="1:18" ht="14.5" customHeight="1" x14ac:dyDescent="0.2">
      <c r="A8" s="23">
        <v>1</v>
      </c>
      <c r="B8" s="53" t="s">
        <v>72</v>
      </c>
      <c r="C8" s="1">
        <v>1</v>
      </c>
      <c r="D8" s="1">
        <f>0.2+0.6</f>
        <v>0.8</v>
      </c>
      <c r="E8" s="1"/>
      <c r="F8" s="1"/>
      <c r="G8" s="1">
        <v>0.44</v>
      </c>
      <c r="H8" s="1"/>
      <c r="I8" s="1">
        <v>0.81</v>
      </c>
      <c r="J8" s="1">
        <v>0.45</v>
      </c>
      <c r="K8" s="1"/>
      <c r="L8" s="1">
        <v>0.57999999999999996</v>
      </c>
      <c r="M8" s="1"/>
      <c r="N8" s="1"/>
      <c r="O8" s="1"/>
      <c r="P8" s="1"/>
      <c r="Q8" s="1"/>
      <c r="R8" s="9">
        <f>SUM(C8:Q8)</f>
        <v>4.08</v>
      </c>
    </row>
    <row r="9" spans="1:18" ht="14.5" customHeight="1" x14ac:dyDescent="0.2">
      <c r="A9" s="23">
        <v>2</v>
      </c>
      <c r="B9" s="53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9">
        <f t="shared" ref="R9:R72" si="0">SUM(C9:Q9)</f>
        <v>0</v>
      </c>
    </row>
    <row r="10" spans="1:18" ht="14.5" customHeight="1" x14ac:dyDescent="0.2">
      <c r="A10" s="23">
        <v>3</v>
      </c>
      <c r="B10" s="53" t="s">
        <v>73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9">
        <f t="shared" si="0"/>
        <v>0</v>
      </c>
    </row>
    <row r="11" spans="1:18" ht="14.5" customHeight="1" x14ac:dyDescent="0.2">
      <c r="A11" s="23">
        <v>4</v>
      </c>
      <c r="B11" s="5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9">
        <f t="shared" si="0"/>
        <v>0</v>
      </c>
    </row>
    <row r="12" spans="1:18" ht="14.5" customHeight="1" x14ac:dyDescent="0.2">
      <c r="A12" s="23">
        <v>5</v>
      </c>
      <c r="B12" s="53" t="s">
        <v>7</v>
      </c>
      <c r="C12" s="1"/>
      <c r="D12" s="1"/>
      <c r="E12" s="1"/>
      <c r="F12" s="1"/>
      <c r="G12" s="1"/>
      <c r="H12" s="1"/>
      <c r="I12" s="1"/>
      <c r="J12" s="1"/>
      <c r="K12" s="1">
        <f>1.57+1.8+0.69+4.06+3.1+1.83+0.59</f>
        <v>13.64</v>
      </c>
      <c r="L12" s="1"/>
      <c r="M12" s="1"/>
      <c r="N12" s="1"/>
      <c r="O12" s="1"/>
      <c r="P12" s="1"/>
      <c r="Q12" s="1"/>
      <c r="R12" s="9">
        <f t="shared" si="0"/>
        <v>13.64</v>
      </c>
    </row>
    <row r="13" spans="1:18" ht="14.5" customHeight="1" x14ac:dyDescent="0.2">
      <c r="A13" s="23">
        <v>6</v>
      </c>
      <c r="B13" s="5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9">
        <f t="shared" si="0"/>
        <v>0</v>
      </c>
    </row>
    <row r="14" spans="1:18" ht="14.5" customHeight="1" x14ac:dyDescent="0.2">
      <c r="A14" s="23">
        <v>7</v>
      </c>
      <c r="B14" s="53" t="s">
        <v>9</v>
      </c>
      <c r="C14" s="1"/>
      <c r="D14" s="1"/>
      <c r="E14" s="1"/>
      <c r="F14" s="1">
        <v>0.5</v>
      </c>
      <c r="G14" s="1">
        <v>1.23</v>
      </c>
      <c r="H14" s="1"/>
      <c r="I14" s="1">
        <v>0.7</v>
      </c>
      <c r="J14" s="1"/>
      <c r="K14" s="1">
        <f>1.81+0.33</f>
        <v>2.14</v>
      </c>
      <c r="L14" s="1">
        <v>2.4</v>
      </c>
      <c r="M14" s="1"/>
      <c r="N14" s="1"/>
      <c r="O14" s="1"/>
      <c r="P14" s="1"/>
      <c r="Q14" s="1"/>
      <c r="R14" s="9">
        <f t="shared" si="0"/>
        <v>6.9700000000000006</v>
      </c>
    </row>
    <row r="15" spans="1:18" ht="14.5" customHeight="1" x14ac:dyDescent="0.2">
      <c r="A15" s="78" t="s">
        <v>74</v>
      </c>
      <c r="B15" s="7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9"/>
    </row>
    <row r="16" spans="1:18" ht="14.5" customHeight="1" x14ac:dyDescent="0.2">
      <c r="A16" s="54">
        <v>1</v>
      </c>
      <c r="B16" s="53" t="s">
        <v>10</v>
      </c>
      <c r="C16" s="1"/>
      <c r="D16" s="1">
        <v>1.6</v>
      </c>
      <c r="E16" s="1"/>
      <c r="F16" s="1">
        <f>0.2+0.9</f>
        <v>1.1000000000000001</v>
      </c>
      <c r="G16" s="1">
        <v>2.25</v>
      </c>
      <c r="H16" s="1"/>
      <c r="I16" s="1">
        <f>1+0.5</f>
        <v>1.5</v>
      </c>
      <c r="J16" s="1">
        <v>7.0000000000000007E-2</v>
      </c>
      <c r="K16" s="1">
        <f>1.48+0.66</f>
        <v>2.14</v>
      </c>
      <c r="L16" s="1">
        <v>0.22</v>
      </c>
      <c r="M16" s="1"/>
      <c r="N16" s="1"/>
      <c r="O16" s="1"/>
      <c r="P16" s="1"/>
      <c r="Q16" s="1"/>
      <c r="R16" s="9">
        <f t="shared" si="0"/>
        <v>8.8800000000000008</v>
      </c>
    </row>
    <row r="17" spans="1:18" ht="14.5" customHeight="1" x14ac:dyDescent="0.2">
      <c r="A17" s="54">
        <v>2</v>
      </c>
      <c r="B17" s="53" t="s">
        <v>75</v>
      </c>
      <c r="C17" s="1"/>
      <c r="D17" s="1"/>
      <c r="E17" s="1"/>
      <c r="F17" s="1"/>
      <c r="G17" s="1"/>
      <c r="H17" s="1"/>
      <c r="I17" s="1"/>
      <c r="J17" s="1"/>
      <c r="K17" s="1"/>
      <c r="L17" s="1">
        <v>0.24</v>
      </c>
      <c r="M17" s="1"/>
      <c r="N17" s="1"/>
      <c r="O17" s="1"/>
      <c r="P17" s="1"/>
      <c r="Q17" s="1"/>
      <c r="R17" s="9">
        <f t="shared" si="0"/>
        <v>0.24</v>
      </c>
    </row>
    <row r="18" spans="1:18" ht="14.5" customHeight="1" x14ac:dyDescent="0.2">
      <c r="A18" s="54">
        <v>3</v>
      </c>
      <c r="B18" s="61" t="s">
        <v>76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9">
        <f t="shared" si="0"/>
        <v>0</v>
      </c>
    </row>
    <row r="19" spans="1:18" ht="14.5" customHeight="1" x14ac:dyDescent="0.2">
      <c r="A19" s="54">
        <v>4</v>
      </c>
      <c r="B19" s="53" t="s">
        <v>11</v>
      </c>
      <c r="C19" s="1"/>
      <c r="D19" s="1">
        <v>0.3</v>
      </c>
      <c r="E19" s="1"/>
      <c r="F19" s="1">
        <v>0.05</v>
      </c>
      <c r="G19" s="1">
        <v>0.19</v>
      </c>
      <c r="H19" s="1"/>
      <c r="I19" s="1">
        <v>0.14000000000000001</v>
      </c>
      <c r="J19" s="1"/>
      <c r="K19" s="1"/>
      <c r="L19" s="1"/>
      <c r="M19" s="1"/>
      <c r="N19" s="1"/>
      <c r="O19" s="1"/>
      <c r="P19" s="1"/>
      <c r="Q19" s="1"/>
      <c r="R19" s="9">
        <f t="shared" si="0"/>
        <v>0.68</v>
      </c>
    </row>
    <row r="20" spans="1:18" ht="14.5" customHeight="1" x14ac:dyDescent="0.2">
      <c r="A20" s="54">
        <v>5</v>
      </c>
      <c r="B20" s="53" t="s">
        <v>12</v>
      </c>
      <c r="C20" s="1"/>
      <c r="D20" s="1"/>
      <c r="E20" s="1"/>
      <c r="F20" s="1">
        <v>0.09</v>
      </c>
      <c r="G20" s="1"/>
      <c r="H20" s="1"/>
      <c r="I20" s="1">
        <v>0.1</v>
      </c>
      <c r="J20" s="1"/>
      <c r="K20" s="1">
        <f>1.36</f>
        <v>1.36</v>
      </c>
      <c r="L20" s="1">
        <v>0.27</v>
      </c>
      <c r="M20" s="1"/>
      <c r="N20" s="1"/>
      <c r="O20" s="1"/>
      <c r="P20" s="1"/>
      <c r="Q20" s="1"/>
      <c r="R20" s="9">
        <f t="shared" si="0"/>
        <v>1.82</v>
      </c>
    </row>
    <row r="21" spans="1:18" ht="14.5" customHeight="1" x14ac:dyDescent="0.2">
      <c r="A21" s="54">
        <v>6</v>
      </c>
      <c r="B21" s="53" t="s">
        <v>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9">
        <f t="shared" si="0"/>
        <v>0</v>
      </c>
    </row>
    <row r="22" spans="1:18" ht="14.5" customHeight="1" x14ac:dyDescent="0.2">
      <c r="A22" s="54">
        <v>7</v>
      </c>
      <c r="B22" s="53" t="s">
        <v>14</v>
      </c>
      <c r="C22" s="1"/>
      <c r="D22" s="1"/>
      <c r="E22" s="1"/>
      <c r="F22" s="1"/>
      <c r="G22" s="1"/>
      <c r="H22" s="1">
        <f>3.5+0.34</f>
        <v>3.84</v>
      </c>
      <c r="I22" s="1"/>
      <c r="J22" s="1"/>
      <c r="K22" s="1"/>
      <c r="L22" s="1"/>
      <c r="M22" s="1"/>
      <c r="N22" s="1"/>
      <c r="O22" s="1"/>
      <c r="P22" s="1"/>
      <c r="Q22" s="1"/>
      <c r="R22" s="9">
        <f t="shared" si="0"/>
        <v>3.84</v>
      </c>
    </row>
    <row r="23" spans="1:18" ht="14.5" customHeight="1" x14ac:dyDescent="0.2">
      <c r="A23" s="54">
        <v>8</v>
      </c>
      <c r="B23" s="53" t="s">
        <v>15</v>
      </c>
      <c r="C23" s="1"/>
      <c r="D23" s="1"/>
      <c r="E23" s="1"/>
      <c r="F23" s="1">
        <v>0.17</v>
      </c>
      <c r="G23" s="1"/>
      <c r="H23" s="1"/>
      <c r="I23" s="1">
        <v>0.7</v>
      </c>
      <c r="J23" s="1"/>
      <c r="K23" s="1"/>
      <c r="L23" s="1"/>
      <c r="M23" s="1"/>
      <c r="N23" s="1"/>
      <c r="O23" s="1"/>
      <c r="P23" s="1"/>
      <c r="Q23" s="1"/>
      <c r="R23" s="9">
        <f t="shared" si="0"/>
        <v>0.87</v>
      </c>
    </row>
    <row r="24" spans="1:18" ht="14.5" customHeight="1" x14ac:dyDescent="0.2">
      <c r="A24" s="54">
        <v>9</v>
      </c>
      <c r="B24" s="53" t="s">
        <v>16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9">
        <f t="shared" si="0"/>
        <v>0</v>
      </c>
    </row>
    <row r="25" spans="1:18" ht="14.5" customHeight="1" x14ac:dyDescent="0.2">
      <c r="A25" s="54">
        <v>10</v>
      </c>
      <c r="B25" s="53" t="s">
        <v>21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9">
        <f t="shared" si="0"/>
        <v>0</v>
      </c>
    </row>
    <row r="26" spans="1:18" ht="14.5" customHeight="1" x14ac:dyDescent="0.2">
      <c r="A26" s="54">
        <v>11</v>
      </c>
      <c r="B26" s="53" t="s">
        <v>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9">
        <f t="shared" si="0"/>
        <v>0</v>
      </c>
    </row>
    <row r="27" spans="1:18" ht="14.5" customHeight="1" x14ac:dyDescent="0.2">
      <c r="A27" s="78" t="s">
        <v>83</v>
      </c>
      <c r="B27" s="7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9"/>
    </row>
    <row r="28" spans="1:18" ht="14.5" customHeight="1" x14ac:dyDescent="0.2">
      <c r="A28" s="54">
        <v>1</v>
      </c>
      <c r="B28" s="53" t="s">
        <v>17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9">
        <f t="shared" si="0"/>
        <v>0</v>
      </c>
    </row>
    <row r="29" spans="1:18" ht="14.5" customHeight="1" x14ac:dyDescent="0.2">
      <c r="A29" s="54">
        <v>2</v>
      </c>
      <c r="B29" s="53" t="s">
        <v>18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9">
        <f t="shared" si="0"/>
        <v>0</v>
      </c>
    </row>
    <row r="30" spans="1:18" ht="14.5" customHeight="1" x14ac:dyDescent="0.2">
      <c r="A30" s="54">
        <v>3</v>
      </c>
      <c r="B30" s="53" t="s">
        <v>19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9">
        <f t="shared" si="0"/>
        <v>0</v>
      </c>
    </row>
    <row r="31" spans="1:18" ht="14.5" customHeight="1" x14ac:dyDescent="0.2">
      <c r="A31" s="78" t="s">
        <v>85</v>
      </c>
      <c r="B31" s="7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9"/>
    </row>
    <row r="32" spans="1:18" ht="14.5" customHeight="1" x14ac:dyDescent="0.2">
      <c r="A32" s="54">
        <v>1</v>
      </c>
      <c r="B32" s="53" t="s">
        <v>23</v>
      </c>
      <c r="C32" s="1"/>
      <c r="D32" s="1"/>
      <c r="E32" s="1"/>
      <c r="F32" s="1"/>
      <c r="G32" s="1"/>
      <c r="H32" s="1">
        <f>0.84+0.23</f>
        <v>1.07</v>
      </c>
      <c r="I32" s="1"/>
      <c r="J32" s="1"/>
      <c r="K32" s="1">
        <v>3.5</v>
      </c>
      <c r="L32" s="1"/>
      <c r="M32" s="1"/>
      <c r="N32" s="1"/>
      <c r="O32" s="1"/>
      <c r="P32" s="1"/>
      <c r="Q32" s="1"/>
      <c r="R32" s="9">
        <f t="shared" si="0"/>
        <v>4.57</v>
      </c>
    </row>
    <row r="33" spans="1:18" ht="14.5" customHeight="1" x14ac:dyDescent="0.2">
      <c r="A33" s="54">
        <v>2</v>
      </c>
      <c r="B33" s="53" t="s">
        <v>24</v>
      </c>
      <c r="C33" s="1"/>
      <c r="D33" s="1">
        <f>0.7+0.5</f>
        <v>1.2</v>
      </c>
      <c r="E33" s="1"/>
      <c r="F33" s="1"/>
      <c r="G33" s="1">
        <v>4.4000000000000004</v>
      </c>
      <c r="H33" s="1">
        <v>0.62</v>
      </c>
      <c r="I33" s="1"/>
      <c r="J33" s="1"/>
      <c r="K33" s="1"/>
      <c r="L33" s="1"/>
      <c r="M33" s="1"/>
      <c r="N33" s="1"/>
      <c r="O33" s="1"/>
      <c r="P33" s="1"/>
      <c r="Q33" s="1"/>
      <c r="R33" s="9">
        <f t="shared" si="0"/>
        <v>6.2200000000000006</v>
      </c>
    </row>
    <row r="34" spans="1:18" ht="14.5" customHeight="1" x14ac:dyDescent="0.2">
      <c r="A34" s="54">
        <v>3</v>
      </c>
      <c r="B34" s="53" t="s">
        <v>25</v>
      </c>
      <c r="C34" s="1">
        <v>4.2</v>
      </c>
      <c r="D34" s="1"/>
      <c r="E34" s="1"/>
      <c r="F34" s="1">
        <v>0.53</v>
      </c>
      <c r="G34" s="1"/>
      <c r="H34" s="1">
        <v>0.88</v>
      </c>
      <c r="I34" s="1">
        <f>3+1.93+2.29</f>
        <v>7.22</v>
      </c>
      <c r="J34" s="1"/>
      <c r="K34" s="1">
        <f>2.73+0.2</f>
        <v>2.93</v>
      </c>
      <c r="L34" s="1">
        <f>0.22+0.35</f>
        <v>0.56999999999999995</v>
      </c>
      <c r="M34" s="1"/>
      <c r="N34" s="1"/>
      <c r="O34" s="1"/>
      <c r="P34" s="1"/>
      <c r="Q34" s="1"/>
      <c r="R34" s="9">
        <f t="shared" si="0"/>
        <v>16.329999999999998</v>
      </c>
    </row>
    <row r="35" spans="1:18" ht="14.5" customHeight="1" x14ac:dyDescent="0.2">
      <c r="A35" s="54">
        <v>4</v>
      </c>
      <c r="B35" s="53" t="s">
        <v>87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9">
        <f t="shared" si="0"/>
        <v>0</v>
      </c>
    </row>
    <row r="36" spans="1:18" ht="14.5" customHeight="1" x14ac:dyDescent="0.2">
      <c r="A36" s="54">
        <v>5</v>
      </c>
      <c r="B36" s="53" t="s">
        <v>88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9">
        <f t="shared" si="0"/>
        <v>0</v>
      </c>
    </row>
    <row r="37" spans="1:18" ht="14.5" customHeight="1" x14ac:dyDescent="0.2">
      <c r="A37" s="64">
        <v>6</v>
      </c>
      <c r="B37" s="65" t="s">
        <v>89</v>
      </c>
      <c r="C37" s="1"/>
      <c r="D37" s="1"/>
      <c r="E37" s="1"/>
      <c r="F37" s="1">
        <v>0.25</v>
      </c>
      <c r="G37" s="1"/>
      <c r="H37" s="1">
        <v>0.77</v>
      </c>
      <c r="I37" s="1">
        <v>0.57999999999999996</v>
      </c>
      <c r="J37" s="1"/>
      <c r="K37" s="1">
        <v>0.75</v>
      </c>
      <c r="L37" s="1"/>
      <c r="M37" s="1"/>
      <c r="N37" s="1"/>
      <c r="O37" s="1"/>
      <c r="P37" s="1"/>
      <c r="Q37" s="1"/>
      <c r="R37" s="9">
        <f t="shared" si="0"/>
        <v>2.35</v>
      </c>
    </row>
    <row r="38" spans="1:18" ht="14.5" customHeight="1" x14ac:dyDescent="0.2">
      <c r="A38" s="51" t="s">
        <v>26</v>
      </c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9"/>
    </row>
    <row r="39" spans="1:18" ht="14.5" customHeight="1" x14ac:dyDescent="0.2">
      <c r="A39" s="26">
        <v>1</v>
      </c>
      <c r="B39" s="55" t="s">
        <v>92</v>
      </c>
      <c r="C39" s="1">
        <v>7.6</v>
      </c>
      <c r="D39" s="1"/>
      <c r="E39" s="1"/>
      <c r="F39" s="1"/>
      <c r="G39" s="1">
        <f>0.8+0.3</f>
        <v>1.1000000000000001</v>
      </c>
      <c r="H39" s="1">
        <f>0.48+0.89</f>
        <v>1.37</v>
      </c>
      <c r="I39" s="1"/>
      <c r="J39" s="1"/>
      <c r="K39" s="1">
        <f>0.9+0.36+1+0.6+1.46</f>
        <v>4.32</v>
      </c>
      <c r="L39" s="1">
        <v>0.22</v>
      </c>
      <c r="M39" s="1"/>
      <c r="N39" s="1"/>
      <c r="O39" s="1"/>
      <c r="P39" s="1"/>
      <c r="Q39" s="1"/>
      <c r="R39" s="9">
        <f t="shared" si="0"/>
        <v>14.610000000000001</v>
      </c>
    </row>
    <row r="40" spans="1:18" ht="14.5" customHeight="1" x14ac:dyDescent="0.2">
      <c r="A40" s="26">
        <v>2</v>
      </c>
      <c r="B40" s="53" t="s">
        <v>20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9">
        <f t="shared" si="0"/>
        <v>0</v>
      </c>
    </row>
    <row r="41" spans="1:18" ht="14.5" customHeight="1" x14ac:dyDescent="0.2">
      <c r="A41" s="70" t="s">
        <v>27</v>
      </c>
      <c r="B41" s="5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9"/>
    </row>
    <row r="42" spans="1:18" ht="14.5" customHeight="1" x14ac:dyDescent="0.2">
      <c r="A42" s="26">
        <v>1</v>
      </c>
      <c r="B42" s="53" t="s">
        <v>28</v>
      </c>
      <c r="C42" s="1">
        <v>4.5999999999999996</v>
      </c>
      <c r="D42" s="1"/>
      <c r="E42" s="1">
        <f>16+9.6</f>
        <v>25.6</v>
      </c>
      <c r="F42" s="1">
        <v>0.7</v>
      </c>
      <c r="G42" s="1"/>
      <c r="H42" s="1"/>
      <c r="I42" s="1">
        <f>10.4+13.2</f>
        <v>23.6</v>
      </c>
      <c r="J42" s="1"/>
      <c r="K42" s="1"/>
      <c r="L42" s="1"/>
      <c r="M42" s="1"/>
      <c r="N42" s="1"/>
      <c r="O42" s="1"/>
      <c r="P42" s="1"/>
      <c r="Q42" s="1"/>
      <c r="R42" s="9">
        <f t="shared" si="0"/>
        <v>54.5</v>
      </c>
    </row>
    <row r="43" spans="1:18" ht="14.5" customHeight="1" x14ac:dyDescent="0.2">
      <c r="A43" s="23">
        <v>2</v>
      </c>
      <c r="B43" s="53" t="s">
        <v>29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9">
        <f t="shared" si="0"/>
        <v>0</v>
      </c>
    </row>
    <row r="44" spans="1:18" ht="14.5" customHeight="1" x14ac:dyDescent="0.2">
      <c r="A44" s="23">
        <v>3</v>
      </c>
      <c r="B44" s="53" t="s">
        <v>94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9">
        <f t="shared" si="0"/>
        <v>0</v>
      </c>
    </row>
    <row r="45" spans="1:18" ht="14.5" customHeight="1" x14ac:dyDescent="0.2">
      <c r="A45" s="23">
        <v>4</v>
      </c>
      <c r="B45" s="53" t="s">
        <v>30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9">
        <f t="shared" si="0"/>
        <v>0</v>
      </c>
    </row>
    <row r="46" spans="1:18" ht="14.5" customHeight="1" x14ac:dyDescent="0.2">
      <c r="A46" s="23">
        <v>5</v>
      </c>
      <c r="B46" s="53" t="s">
        <v>31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9">
        <f t="shared" si="0"/>
        <v>0</v>
      </c>
    </row>
    <row r="47" spans="1:18" ht="14.5" customHeight="1" x14ac:dyDescent="0.2">
      <c r="A47" s="23">
        <v>6</v>
      </c>
      <c r="B47" s="53" t="s">
        <v>32</v>
      </c>
      <c r="C47" s="1">
        <v>2.23</v>
      </c>
      <c r="D47" s="1">
        <f>0.8+0.39+0.5</f>
        <v>1.69</v>
      </c>
      <c r="E47" s="1"/>
      <c r="F47" s="1">
        <v>0.75</v>
      </c>
      <c r="G47" s="1">
        <v>4.4000000000000004</v>
      </c>
      <c r="H47" s="1">
        <v>1.74</v>
      </c>
      <c r="I47" s="1">
        <f>1.68+0.8</f>
        <v>2.48</v>
      </c>
      <c r="J47" s="1">
        <v>0.11</v>
      </c>
      <c r="K47" s="1">
        <f>2.14+3.3</f>
        <v>5.4399999999999995</v>
      </c>
      <c r="L47" s="1">
        <v>0.28000000000000003</v>
      </c>
      <c r="M47" s="1"/>
      <c r="N47" s="1"/>
      <c r="O47" s="1"/>
      <c r="P47" s="1"/>
      <c r="Q47" s="1"/>
      <c r="R47" s="9">
        <f t="shared" si="0"/>
        <v>19.12</v>
      </c>
    </row>
    <row r="48" spans="1:18" ht="14.5" customHeight="1" x14ac:dyDescent="0.2">
      <c r="A48" s="23">
        <v>7</v>
      </c>
      <c r="B48" s="53" t="s">
        <v>33</v>
      </c>
      <c r="C48" s="1">
        <f>1.7+2.7+1.96</f>
        <v>6.36</v>
      </c>
      <c r="D48" s="1">
        <f>0.32+0.69+0.2+0.9+0.58</f>
        <v>2.69</v>
      </c>
      <c r="E48" s="1"/>
      <c r="F48" s="1"/>
      <c r="G48" s="1">
        <v>5.85</v>
      </c>
      <c r="H48" s="1">
        <v>1.4</v>
      </c>
      <c r="I48" s="1">
        <f>2.43+10.5+3.92</f>
        <v>16.850000000000001</v>
      </c>
      <c r="J48" s="1">
        <v>1.3</v>
      </c>
      <c r="K48" s="1">
        <f>1.67+0.5+1.85+2.06+0.62+0.37</f>
        <v>7.07</v>
      </c>
      <c r="L48" s="1">
        <v>1.82</v>
      </c>
      <c r="M48" s="1"/>
      <c r="N48" s="1"/>
      <c r="O48" s="1"/>
      <c r="P48" s="1"/>
      <c r="Q48" s="1"/>
      <c r="R48" s="9">
        <f t="shared" si="0"/>
        <v>43.34</v>
      </c>
    </row>
    <row r="49" spans="1:18" ht="14.5" customHeight="1" x14ac:dyDescent="0.2">
      <c r="A49" s="23">
        <v>8</v>
      </c>
      <c r="B49" s="53" t="s">
        <v>34</v>
      </c>
      <c r="C49" s="1"/>
      <c r="D49" s="1"/>
      <c r="E49" s="1"/>
      <c r="F49" s="1">
        <v>0.5</v>
      </c>
      <c r="G49" s="1">
        <v>1.8</v>
      </c>
      <c r="H49" s="1">
        <v>0.72</v>
      </c>
      <c r="I49" s="1">
        <v>3.32</v>
      </c>
      <c r="J49" s="75">
        <v>0.11</v>
      </c>
      <c r="K49" s="1">
        <v>4</v>
      </c>
      <c r="L49" s="1">
        <v>0.23</v>
      </c>
      <c r="M49" s="1"/>
      <c r="N49" s="1"/>
      <c r="O49" s="1"/>
      <c r="P49" s="1"/>
      <c r="Q49" s="1"/>
      <c r="R49" s="9">
        <f t="shared" si="0"/>
        <v>10.68</v>
      </c>
    </row>
    <row r="50" spans="1:18" ht="14.5" customHeight="1" x14ac:dyDescent="0.2">
      <c r="A50" s="51" t="s">
        <v>35</v>
      </c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9"/>
    </row>
    <row r="51" spans="1:18" ht="14.5" customHeight="1" x14ac:dyDescent="0.2">
      <c r="A51" s="71">
        <v>1</v>
      </c>
      <c r="B51" s="53" t="s">
        <v>36</v>
      </c>
      <c r="C51" s="1">
        <v>1.1000000000000001</v>
      </c>
      <c r="D51" s="1">
        <f>0.1+0.07</f>
        <v>0.17</v>
      </c>
      <c r="E51" s="1"/>
      <c r="F51" s="1">
        <v>1.6</v>
      </c>
      <c r="G51" s="1"/>
      <c r="H51" s="1">
        <v>0.28000000000000003</v>
      </c>
      <c r="I51" s="1">
        <v>0.27</v>
      </c>
      <c r="J51" s="1"/>
      <c r="K51" s="1">
        <f>0.43+0.68</f>
        <v>1.1100000000000001</v>
      </c>
      <c r="L51" s="1">
        <v>0.57999999999999996</v>
      </c>
      <c r="M51" s="1"/>
      <c r="N51" s="1"/>
      <c r="O51" s="1"/>
      <c r="P51" s="1"/>
      <c r="Q51" s="1"/>
      <c r="R51" s="9">
        <f t="shared" si="0"/>
        <v>5.1100000000000003</v>
      </c>
    </row>
    <row r="52" spans="1:18" ht="14.5" customHeight="1" x14ac:dyDescent="0.2">
      <c r="A52" s="71">
        <v>2</v>
      </c>
      <c r="B52" s="53" t="s">
        <v>37</v>
      </c>
      <c r="C52" s="1"/>
      <c r="D52" s="1"/>
      <c r="E52" s="1"/>
      <c r="F52" s="1">
        <v>0.99</v>
      </c>
      <c r="G52" s="1"/>
      <c r="H52" s="1">
        <v>2.8</v>
      </c>
      <c r="I52" s="1"/>
      <c r="J52" s="1"/>
      <c r="K52" s="1">
        <v>1.1000000000000001</v>
      </c>
      <c r="L52" s="1"/>
      <c r="M52" s="1"/>
      <c r="N52" s="1"/>
      <c r="O52" s="1"/>
      <c r="P52" s="1"/>
      <c r="Q52" s="1"/>
      <c r="R52" s="9">
        <f t="shared" si="0"/>
        <v>4.8900000000000006</v>
      </c>
    </row>
    <row r="53" spans="1:18" ht="14.5" customHeight="1" x14ac:dyDescent="0.2">
      <c r="A53" s="71">
        <v>3</v>
      </c>
      <c r="B53" s="53" t="s">
        <v>38</v>
      </c>
      <c r="C53" s="1"/>
      <c r="D53" s="1"/>
      <c r="E53" s="1"/>
      <c r="F53" s="1"/>
      <c r="G53" s="1"/>
      <c r="H53" s="1">
        <v>1.44</v>
      </c>
      <c r="I53" s="1">
        <v>5.68</v>
      </c>
      <c r="J53" s="1"/>
      <c r="K53" s="1"/>
      <c r="L53" s="1"/>
      <c r="M53" s="1"/>
      <c r="N53" s="1"/>
      <c r="O53" s="1"/>
      <c r="P53" s="1"/>
      <c r="Q53" s="1"/>
      <c r="R53" s="9">
        <f t="shared" si="0"/>
        <v>7.1199999999999992</v>
      </c>
    </row>
    <row r="54" spans="1:18" ht="14.5" customHeight="1" x14ac:dyDescent="0.2">
      <c r="A54" s="71">
        <v>4</v>
      </c>
      <c r="B54" s="53" t="s">
        <v>96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9">
        <f t="shared" si="0"/>
        <v>0</v>
      </c>
    </row>
    <row r="55" spans="1:18" ht="14.5" customHeight="1" x14ac:dyDescent="0.2">
      <c r="A55" s="71">
        <v>5</v>
      </c>
      <c r="B55" s="53" t="s">
        <v>97</v>
      </c>
      <c r="C55" s="1"/>
      <c r="D55" s="1"/>
      <c r="E55" s="1"/>
      <c r="F55" s="1"/>
      <c r="G55" s="1"/>
      <c r="H55" s="1">
        <v>0.49</v>
      </c>
      <c r="I55" s="1">
        <v>2.9</v>
      </c>
      <c r="J55" s="1"/>
      <c r="K55" s="1"/>
      <c r="L55" s="1"/>
      <c r="M55" s="1"/>
      <c r="N55" s="1"/>
      <c r="O55" s="1"/>
      <c r="P55" s="1"/>
      <c r="Q55" s="1"/>
      <c r="R55" s="9">
        <f t="shared" si="0"/>
        <v>3.3899999999999997</v>
      </c>
    </row>
    <row r="56" spans="1:18" ht="14.5" customHeight="1" x14ac:dyDescent="0.2">
      <c r="A56" s="71">
        <v>6</v>
      </c>
      <c r="B56" s="53" t="s">
        <v>39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9">
        <f t="shared" si="0"/>
        <v>0</v>
      </c>
    </row>
    <row r="57" spans="1:18" ht="14.5" customHeight="1" x14ac:dyDescent="0.2">
      <c r="A57" s="71">
        <v>7</v>
      </c>
      <c r="B57" s="53" t="s">
        <v>40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9">
        <f t="shared" si="0"/>
        <v>0</v>
      </c>
    </row>
    <row r="58" spans="1:18" ht="14.5" customHeight="1" x14ac:dyDescent="0.2">
      <c r="A58" s="71">
        <v>8</v>
      </c>
      <c r="B58" s="53" t="s">
        <v>41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9">
        <f t="shared" si="0"/>
        <v>0</v>
      </c>
    </row>
    <row r="59" spans="1:18" ht="14.5" customHeight="1" x14ac:dyDescent="0.2">
      <c r="A59" s="51" t="s">
        <v>42</v>
      </c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9"/>
    </row>
    <row r="60" spans="1:18" ht="14.5" customHeight="1" x14ac:dyDescent="0.2">
      <c r="A60" s="23">
        <v>1</v>
      </c>
      <c r="B60" s="25" t="s">
        <v>43</v>
      </c>
      <c r="C60" s="1"/>
      <c r="D60" s="1"/>
      <c r="E60" s="1"/>
      <c r="F60" s="1"/>
      <c r="G60" s="1"/>
      <c r="H60" s="1"/>
      <c r="I60" s="1"/>
      <c r="J60" s="1"/>
      <c r="K60" s="1">
        <v>1</v>
      </c>
      <c r="L60" s="1"/>
      <c r="M60" s="1"/>
      <c r="N60" s="1"/>
      <c r="O60" s="1"/>
      <c r="P60" s="1"/>
      <c r="Q60" s="1"/>
      <c r="R60" s="9">
        <f t="shared" si="0"/>
        <v>1</v>
      </c>
    </row>
    <row r="61" spans="1:18" ht="14.5" customHeight="1" x14ac:dyDescent="0.2">
      <c r="A61" s="23">
        <v>2</v>
      </c>
      <c r="B61" s="25" t="s">
        <v>44</v>
      </c>
      <c r="C61" s="1"/>
      <c r="D61" s="1"/>
      <c r="E61" s="1"/>
      <c r="F61" s="1"/>
      <c r="G61" s="1"/>
      <c r="H61" s="1"/>
      <c r="I61" s="1">
        <v>3</v>
      </c>
      <c r="J61" s="1"/>
      <c r="K61" s="1">
        <v>8</v>
      </c>
      <c r="L61" s="1"/>
      <c r="M61" s="1"/>
      <c r="N61" s="1"/>
      <c r="O61" s="1"/>
      <c r="P61" s="1"/>
      <c r="Q61" s="1"/>
      <c r="R61" s="9">
        <f t="shared" si="0"/>
        <v>11</v>
      </c>
    </row>
    <row r="62" spans="1:18" ht="14.5" customHeight="1" x14ac:dyDescent="0.2">
      <c r="A62" s="23">
        <v>3</v>
      </c>
      <c r="B62" s="25" t="s">
        <v>45</v>
      </c>
      <c r="C62" s="1">
        <v>2.9</v>
      </c>
      <c r="D62" s="1">
        <v>0.4</v>
      </c>
      <c r="E62" s="1"/>
      <c r="F62" s="1"/>
      <c r="G62" s="1">
        <v>2.48</v>
      </c>
      <c r="H62" s="1"/>
      <c r="I62" s="1">
        <v>1</v>
      </c>
      <c r="J62" s="1">
        <v>0.53</v>
      </c>
      <c r="K62" s="1">
        <f>2.19+4.5+3.7</f>
        <v>10.39</v>
      </c>
      <c r="L62" s="1"/>
      <c r="M62" s="1"/>
      <c r="N62" s="1"/>
      <c r="O62" s="1"/>
      <c r="P62" s="1"/>
      <c r="Q62" s="1"/>
      <c r="R62" s="9">
        <f t="shared" si="0"/>
        <v>17.7</v>
      </c>
    </row>
    <row r="63" spans="1:18" ht="14.5" customHeight="1" x14ac:dyDescent="0.2">
      <c r="A63" s="51" t="s">
        <v>46</v>
      </c>
      <c r="B63" s="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9"/>
    </row>
    <row r="64" spans="1:18" ht="14.5" customHeight="1" x14ac:dyDescent="0.2">
      <c r="A64" s="71">
        <v>1</v>
      </c>
      <c r="B64" s="53" t="s">
        <v>100</v>
      </c>
      <c r="C64" s="1"/>
      <c r="D64" s="1"/>
      <c r="E64" s="1"/>
      <c r="F64" s="1"/>
      <c r="G64" s="1"/>
      <c r="H64" s="1"/>
      <c r="I64" s="1">
        <v>0.34</v>
      </c>
      <c r="J64" s="1"/>
      <c r="K64" s="1"/>
      <c r="L64" s="1"/>
      <c r="M64" s="1"/>
      <c r="N64" s="1"/>
      <c r="O64" s="1"/>
      <c r="P64" s="1"/>
      <c r="Q64" s="1"/>
      <c r="R64" s="9">
        <f t="shared" si="0"/>
        <v>0.34</v>
      </c>
    </row>
    <row r="65" spans="1:18" ht="14.5" customHeight="1" x14ac:dyDescent="0.2">
      <c r="A65" s="71">
        <v>2</v>
      </c>
      <c r="B65" s="53" t="s">
        <v>101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9">
        <f t="shared" si="0"/>
        <v>0</v>
      </c>
    </row>
    <row r="66" spans="1:18" ht="14.5" customHeight="1" x14ac:dyDescent="0.2">
      <c r="A66" s="71">
        <v>3</v>
      </c>
      <c r="B66" s="53" t="s">
        <v>47</v>
      </c>
      <c r="C66" s="1"/>
      <c r="D66" s="1">
        <v>0.3</v>
      </c>
      <c r="E66" s="1"/>
      <c r="F66" s="1"/>
      <c r="G66" s="1">
        <v>0.16</v>
      </c>
      <c r="H66" s="1">
        <v>0.48</v>
      </c>
      <c r="I66" s="1">
        <v>2.5</v>
      </c>
      <c r="J66" s="1">
        <v>0.1</v>
      </c>
      <c r="K66" s="1">
        <v>1.07</v>
      </c>
      <c r="L66" s="1"/>
      <c r="M66" s="1"/>
      <c r="N66" s="1"/>
      <c r="O66" s="1"/>
      <c r="P66" s="1"/>
      <c r="Q66" s="1"/>
      <c r="R66" s="9">
        <f t="shared" si="0"/>
        <v>4.6100000000000003</v>
      </c>
    </row>
    <row r="67" spans="1:18" ht="14.5" customHeight="1" x14ac:dyDescent="0.2">
      <c r="A67" s="71">
        <v>4</v>
      </c>
      <c r="B67" s="53" t="s">
        <v>102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9">
        <f t="shared" si="0"/>
        <v>0</v>
      </c>
    </row>
    <row r="68" spans="1:18" ht="14.5" customHeight="1" x14ac:dyDescent="0.2">
      <c r="A68" s="71">
        <v>5</v>
      </c>
      <c r="B68" s="53" t="s">
        <v>48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9">
        <f t="shared" si="0"/>
        <v>0</v>
      </c>
    </row>
    <row r="69" spans="1:18" ht="14.5" customHeight="1" x14ac:dyDescent="0.2">
      <c r="A69" s="71">
        <v>6</v>
      </c>
      <c r="B69" s="53" t="s">
        <v>49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9">
        <f t="shared" si="0"/>
        <v>0</v>
      </c>
    </row>
    <row r="70" spans="1:18" ht="14.5" customHeight="1" x14ac:dyDescent="0.2">
      <c r="A70" s="71">
        <v>7</v>
      </c>
      <c r="B70" s="53" t="s">
        <v>52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9">
        <f t="shared" si="0"/>
        <v>0</v>
      </c>
    </row>
    <row r="71" spans="1:18" ht="14.5" customHeight="1" x14ac:dyDescent="0.2">
      <c r="A71" s="71">
        <v>8</v>
      </c>
      <c r="B71" s="53" t="s">
        <v>51</v>
      </c>
      <c r="C71" s="2"/>
      <c r="D71" s="2"/>
      <c r="E71" s="2"/>
      <c r="F71" s="2"/>
      <c r="G71" s="2">
        <v>0.14000000000000001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9">
        <f t="shared" si="0"/>
        <v>0.14000000000000001</v>
      </c>
    </row>
    <row r="72" spans="1:18" ht="14.5" customHeight="1" x14ac:dyDescent="0.2">
      <c r="A72" s="71">
        <v>9</v>
      </c>
      <c r="B72" s="53" t="s">
        <v>104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9">
        <f t="shared" si="0"/>
        <v>0</v>
      </c>
    </row>
    <row r="73" spans="1:18" ht="14.5" customHeight="1" x14ac:dyDescent="0.2">
      <c r="A73" s="71">
        <v>10</v>
      </c>
      <c r="B73" s="53" t="s">
        <v>50</v>
      </c>
      <c r="C73" s="2"/>
      <c r="D73" s="2"/>
      <c r="E73" s="2"/>
      <c r="F73" s="2">
        <v>2.2000000000000002</v>
      </c>
      <c r="G73" s="2"/>
      <c r="H73" s="2">
        <v>1.31</v>
      </c>
      <c r="I73" s="2">
        <v>0.4</v>
      </c>
      <c r="J73" s="2"/>
      <c r="K73" s="2"/>
      <c r="L73" s="2"/>
      <c r="M73" s="2"/>
      <c r="N73" s="2"/>
      <c r="O73" s="2"/>
      <c r="P73" s="2"/>
      <c r="Q73" s="2"/>
      <c r="R73" s="9">
        <f t="shared" ref="R73:R75" si="1">SUM(C73:Q73)</f>
        <v>3.91</v>
      </c>
    </row>
    <row r="74" spans="1:18" ht="14.5" customHeight="1" x14ac:dyDescent="0.2">
      <c r="A74" s="71">
        <v>11</v>
      </c>
      <c r="B74" s="53" t="s">
        <v>106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9">
        <f t="shared" si="1"/>
        <v>0</v>
      </c>
    </row>
    <row r="75" spans="1:18" ht="14.5" customHeight="1" x14ac:dyDescent="0.2">
      <c r="A75" s="71">
        <v>12</v>
      </c>
      <c r="B75" s="53" t="s">
        <v>108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9">
        <f t="shared" si="1"/>
        <v>0</v>
      </c>
    </row>
    <row r="76" spans="1:18" ht="14.5" customHeight="1" x14ac:dyDescent="0.2">
      <c r="A76" s="49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9"/>
    </row>
    <row r="77" spans="1:18" ht="14.5" customHeight="1" x14ac:dyDescent="0.2">
      <c r="A77" s="4" t="s">
        <v>53</v>
      </c>
      <c r="B77" s="3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32">
        <f>SUM(R7:R76)</f>
        <v>271.95</v>
      </c>
    </row>
    <row r="78" spans="1:18" ht="14.5" customHeight="1" x14ac:dyDescent="0.2">
      <c r="A78" s="5" t="s">
        <v>54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"/>
    </row>
    <row r="79" spans="1:18" ht="14.5" customHeight="1" x14ac:dyDescent="0.2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6"/>
    </row>
    <row r="80" spans="1:18" ht="14.5" customHeight="1" x14ac:dyDescent="0.2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6"/>
    </row>
  </sheetData>
  <mergeCells count="11">
    <mergeCell ref="A15:B15"/>
    <mergeCell ref="A27:B27"/>
    <mergeCell ref="A31:B31"/>
    <mergeCell ref="A7:B7"/>
    <mergeCell ref="A1:R1"/>
    <mergeCell ref="A2:R2"/>
    <mergeCell ref="A4:A6"/>
    <mergeCell ref="B4:B6"/>
    <mergeCell ref="C4:Q4"/>
    <mergeCell ref="R4:R6"/>
    <mergeCell ref="C5:Q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BA3E-E271-4C77-9AA6-AF19A76CD84A}">
  <dimension ref="A1:R80"/>
  <sheetViews>
    <sheetView zoomScale="120" zoomScaleNormal="12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8" sqref="C8"/>
    </sheetView>
  </sheetViews>
  <sheetFormatPr baseColWidth="10" defaultColWidth="8.83203125" defaultRowHeight="15" x14ac:dyDescent="0.2"/>
  <cols>
    <col min="2" max="2" width="25.6640625" bestFit="1" customWidth="1"/>
    <col min="3" max="17" width="7.6640625" customWidth="1"/>
    <col min="18" max="18" width="9.6640625" style="8" customWidth="1"/>
  </cols>
  <sheetData>
    <row r="1" spans="1:18" ht="18" customHeight="1" x14ac:dyDescent="0.25">
      <c r="A1" s="88" t="str">
        <f>'Setoran 1'!A1:R1</f>
        <v>REKAP JUAL BELI SAMPAH NASABAH BALI ARUM (BALI WASTE CYCLE)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 ht="18" customHeight="1" x14ac:dyDescent="0.2">
      <c r="A2" s="80" t="str">
        <f>'Data '!A2:D2</f>
        <v>TANGGAL : 8 Agustus2026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4" spans="1:18" s="8" customFormat="1" ht="14.5" customHeight="1" x14ac:dyDescent="0.2">
      <c r="A4" s="83" t="s">
        <v>63</v>
      </c>
      <c r="B4" s="83" t="s">
        <v>62</v>
      </c>
      <c r="C4" s="89" t="s">
        <v>59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1"/>
      <c r="R4" s="81" t="s">
        <v>53</v>
      </c>
    </row>
    <row r="5" spans="1:18" s="8" customFormat="1" ht="14.5" customHeight="1" x14ac:dyDescent="0.2">
      <c r="A5" s="83"/>
      <c r="B5" s="83"/>
      <c r="C5" s="89" t="s">
        <v>55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  <c r="R5" s="81"/>
    </row>
    <row r="6" spans="1:18" s="8" customFormat="1" ht="29" customHeight="1" x14ac:dyDescent="0.2">
      <c r="A6" s="83"/>
      <c r="B6" s="83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81"/>
    </row>
    <row r="7" spans="1:18" ht="14.5" customHeight="1" x14ac:dyDescent="0.2">
      <c r="A7" s="78" t="s">
        <v>4</v>
      </c>
      <c r="B7" s="7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9"/>
    </row>
    <row r="8" spans="1:18" ht="14.5" customHeight="1" x14ac:dyDescent="0.2">
      <c r="A8" s="23">
        <v>1</v>
      </c>
      <c r="B8" s="53" t="s">
        <v>72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9">
        <f>SUM(C8:Q8)</f>
        <v>0</v>
      </c>
    </row>
    <row r="9" spans="1:18" ht="14.5" customHeight="1" x14ac:dyDescent="0.2">
      <c r="A9" s="23">
        <v>2</v>
      </c>
      <c r="B9" s="53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9">
        <f t="shared" ref="R9:R72" si="0">SUM(C9:Q9)</f>
        <v>0</v>
      </c>
    </row>
    <row r="10" spans="1:18" ht="14.5" customHeight="1" x14ac:dyDescent="0.2">
      <c r="A10" s="23">
        <v>3</v>
      </c>
      <c r="B10" s="53" t="s">
        <v>73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9">
        <f t="shared" si="0"/>
        <v>0</v>
      </c>
    </row>
    <row r="11" spans="1:18" ht="14.5" customHeight="1" x14ac:dyDescent="0.2">
      <c r="A11" s="23">
        <v>4</v>
      </c>
      <c r="B11" s="5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9">
        <f t="shared" si="0"/>
        <v>0</v>
      </c>
    </row>
    <row r="12" spans="1:18" ht="14.5" customHeight="1" x14ac:dyDescent="0.2">
      <c r="A12" s="23">
        <v>5</v>
      </c>
      <c r="B12" s="53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9">
        <f t="shared" si="0"/>
        <v>0</v>
      </c>
    </row>
    <row r="13" spans="1:18" ht="14.5" customHeight="1" x14ac:dyDescent="0.2">
      <c r="A13" s="23">
        <v>6</v>
      </c>
      <c r="B13" s="5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9">
        <f t="shared" si="0"/>
        <v>0</v>
      </c>
    </row>
    <row r="14" spans="1:18" ht="14.5" customHeight="1" x14ac:dyDescent="0.2">
      <c r="A14" s="23">
        <v>7</v>
      </c>
      <c r="B14" s="53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9">
        <f t="shared" si="0"/>
        <v>0</v>
      </c>
    </row>
    <row r="15" spans="1:18" ht="14.5" customHeight="1" x14ac:dyDescent="0.2">
      <c r="A15" s="78" t="s">
        <v>74</v>
      </c>
      <c r="B15" s="7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9"/>
    </row>
    <row r="16" spans="1:18" ht="14.5" customHeight="1" x14ac:dyDescent="0.2">
      <c r="A16" s="54">
        <v>1</v>
      </c>
      <c r="B16" s="53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9">
        <f t="shared" si="0"/>
        <v>0</v>
      </c>
    </row>
    <row r="17" spans="1:18" ht="14.5" customHeight="1" x14ac:dyDescent="0.2">
      <c r="A17" s="54">
        <v>2</v>
      </c>
      <c r="B17" s="53" t="s">
        <v>75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9">
        <f t="shared" si="0"/>
        <v>0</v>
      </c>
    </row>
    <row r="18" spans="1:18" ht="14.5" customHeight="1" x14ac:dyDescent="0.2">
      <c r="A18" s="54">
        <v>3</v>
      </c>
      <c r="B18" s="61" t="s">
        <v>76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9">
        <f t="shared" si="0"/>
        <v>0</v>
      </c>
    </row>
    <row r="19" spans="1:18" ht="14.5" customHeight="1" x14ac:dyDescent="0.2">
      <c r="A19" s="54">
        <v>4</v>
      </c>
      <c r="B19" s="53" t="s">
        <v>11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>
        <f t="shared" si="0"/>
        <v>0</v>
      </c>
    </row>
    <row r="20" spans="1:18" ht="14.5" customHeight="1" x14ac:dyDescent="0.2">
      <c r="A20" s="54">
        <v>5</v>
      </c>
      <c r="B20" s="53" t="s">
        <v>12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9">
        <f t="shared" si="0"/>
        <v>0</v>
      </c>
    </row>
    <row r="21" spans="1:18" ht="14.5" customHeight="1" x14ac:dyDescent="0.2">
      <c r="A21" s="54">
        <v>6</v>
      </c>
      <c r="B21" s="53" t="s">
        <v>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9">
        <f t="shared" si="0"/>
        <v>0</v>
      </c>
    </row>
    <row r="22" spans="1:18" ht="14.5" customHeight="1" x14ac:dyDescent="0.2">
      <c r="A22" s="54">
        <v>7</v>
      </c>
      <c r="B22" s="53" t="s">
        <v>14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9">
        <f t="shared" si="0"/>
        <v>0</v>
      </c>
    </row>
    <row r="23" spans="1:18" ht="14.5" customHeight="1" x14ac:dyDescent="0.2">
      <c r="A23" s="54">
        <v>8</v>
      </c>
      <c r="B23" s="53" t="s">
        <v>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9">
        <f t="shared" si="0"/>
        <v>0</v>
      </c>
    </row>
    <row r="24" spans="1:18" ht="14.5" customHeight="1" x14ac:dyDescent="0.2">
      <c r="A24" s="54">
        <v>9</v>
      </c>
      <c r="B24" s="53" t="s">
        <v>16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9">
        <f t="shared" si="0"/>
        <v>0</v>
      </c>
    </row>
    <row r="25" spans="1:18" ht="14.5" customHeight="1" x14ac:dyDescent="0.2">
      <c r="A25" s="54">
        <v>10</v>
      </c>
      <c r="B25" s="53" t="s">
        <v>21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9">
        <f t="shared" si="0"/>
        <v>0</v>
      </c>
    </row>
    <row r="26" spans="1:18" ht="14.5" customHeight="1" x14ac:dyDescent="0.2">
      <c r="A26" s="54">
        <v>11</v>
      </c>
      <c r="B26" s="53" t="s">
        <v>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9">
        <f t="shared" si="0"/>
        <v>0</v>
      </c>
    </row>
    <row r="27" spans="1:18" ht="14.5" customHeight="1" x14ac:dyDescent="0.2">
      <c r="A27" s="78" t="s">
        <v>83</v>
      </c>
      <c r="B27" s="7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9"/>
    </row>
    <row r="28" spans="1:18" ht="14.5" customHeight="1" x14ac:dyDescent="0.2">
      <c r="A28" s="54">
        <v>1</v>
      </c>
      <c r="B28" s="53" t="s">
        <v>17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9">
        <f t="shared" si="0"/>
        <v>0</v>
      </c>
    </row>
    <row r="29" spans="1:18" ht="14.5" customHeight="1" x14ac:dyDescent="0.2">
      <c r="A29" s="54">
        <v>2</v>
      </c>
      <c r="B29" s="53" t="s">
        <v>18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9">
        <f t="shared" si="0"/>
        <v>0</v>
      </c>
    </row>
    <row r="30" spans="1:18" ht="14.5" customHeight="1" x14ac:dyDescent="0.2">
      <c r="A30" s="54">
        <v>3</v>
      </c>
      <c r="B30" s="53" t="s">
        <v>19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9">
        <f t="shared" si="0"/>
        <v>0</v>
      </c>
    </row>
    <row r="31" spans="1:18" ht="14.5" customHeight="1" x14ac:dyDescent="0.2">
      <c r="A31" s="78" t="s">
        <v>85</v>
      </c>
      <c r="B31" s="7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9"/>
    </row>
    <row r="32" spans="1:18" ht="14.5" customHeight="1" x14ac:dyDescent="0.2">
      <c r="A32" s="54">
        <v>1</v>
      </c>
      <c r="B32" s="53" t="s">
        <v>23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9">
        <f t="shared" si="0"/>
        <v>0</v>
      </c>
    </row>
    <row r="33" spans="1:18" ht="14.5" customHeight="1" x14ac:dyDescent="0.2">
      <c r="A33" s="54">
        <v>2</v>
      </c>
      <c r="B33" s="53" t="s">
        <v>24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9">
        <f t="shared" si="0"/>
        <v>0</v>
      </c>
    </row>
    <row r="34" spans="1:18" ht="14.5" customHeight="1" x14ac:dyDescent="0.2">
      <c r="A34" s="54">
        <v>3</v>
      </c>
      <c r="B34" s="53" t="s">
        <v>25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9">
        <f t="shared" si="0"/>
        <v>0</v>
      </c>
    </row>
    <row r="35" spans="1:18" ht="14.5" customHeight="1" x14ac:dyDescent="0.2">
      <c r="A35" s="54">
        <v>4</v>
      </c>
      <c r="B35" s="53" t="s">
        <v>87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9">
        <f t="shared" si="0"/>
        <v>0</v>
      </c>
    </row>
    <row r="36" spans="1:18" ht="14.5" customHeight="1" x14ac:dyDescent="0.2">
      <c r="A36" s="54">
        <v>5</v>
      </c>
      <c r="B36" s="53" t="s">
        <v>88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9">
        <f t="shared" si="0"/>
        <v>0</v>
      </c>
    </row>
    <row r="37" spans="1:18" ht="14.5" customHeight="1" x14ac:dyDescent="0.2">
      <c r="A37" s="64">
        <v>6</v>
      </c>
      <c r="B37" s="65" t="s">
        <v>89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9">
        <f t="shared" si="0"/>
        <v>0</v>
      </c>
    </row>
    <row r="38" spans="1:18" ht="14.5" customHeight="1" x14ac:dyDescent="0.2">
      <c r="A38" s="51" t="s">
        <v>26</v>
      </c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9"/>
    </row>
    <row r="39" spans="1:18" ht="14.5" customHeight="1" x14ac:dyDescent="0.2">
      <c r="A39" s="26">
        <v>1</v>
      </c>
      <c r="B39" s="55" t="s">
        <v>92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9">
        <f t="shared" si="0"/>
        <v>0</v>
      </c>
    </row>
    <row r="40" spans="1:18" ht="14.5" customHeight="1" x14ac:dyDescent="0.2">
      <c r="A40" s="26">
        <v>2</v>
      </c>
      <c r="B40" s="53" t="s">
        <v>20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9">
        <f t="shared" si="0"/>
        <v>0</v>
      </c>
    </row>
    <row r="41" spans="1:18" ht="14.5" customHeight="1" x14ac:dyDescent="0.2">
      <c r="A41" s="70" t="s">
        <v>27</v>
      </c>
      <c r="B41" s="5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9"/>
    </row>
    <row r="42" spans="1:18" ht="14.5" customHeight="1" x14ac:dyDescent="0.2">
      <c r="A42" s="26">
        <v>1</v>
      </c>
      <c r="B42" s="53" t="s">
        <v>28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9">
        <f t="shared" si="0"/>
        <v>0</v>
      </c>
    </row>
    <row r="43" spans="1:18" ht="14.5" customHeight="1" x14ac:dyDescent="0.2">
      <c r="A43" s="23">
        <v>2</v>
      </c>
      <c r="B43" s="53" t="s">
        <v>29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9">
        <f t="shared" si="0"/>
        <v>0</v>
      </c>
    </row>
    <row r="44" spans="1:18" ht="14.5" customHeight="1" x14ac:dyDescent="0.2">
      <c r="A44" s="23">
        <v>3</v>
      </c>
      <c r="B44" s="53" t="s">
        <v>94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9">
        <f t="shared" si="0"/>
        <v>0</v>
      </c>
    </row>
    <row r="45" spans="1:18" ht="14.5" customHeight="1" x14ac:dyDescent="0.2">
      <c r="A45" s="23">
        <v>4</v>
      </c>
      <c r="B45" s="53" t="s">
        <v>30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9">
        <f t="shared" si="0"/>
        <v>0</v>
      </c>
    </row>
    <row r="46" spans="1:18" ht="14.5" customHeight="1" x14ac:dyDescent="0.2">
      <c r="A46" s="23">
        <v>5</v>
      </c>
      <c r="B46" s="53" t="s">
        <v>31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9">
        <f t="shared" si="0"/>
        <v>0</v>
      </c>
    </row>
    <row r="47" spans="1:18" ht="14.5" customHeight="1" x14ac:dyDescent="0.2">
      <c r="A47" s="23">
        <v>6</v>
      </c>
      <c r="B47" s="53" t="s">
        <v>32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9">
        <f t="shared" si="0"/>
        <v>0</v>
      </c>
    </row>
    <row r="48" spans="1:18" ht="14.5" customHeight="1" x14ac:dyDescent="0.2">
      <c r="A48" s="23">
        <v>7</v>
      </c>
      <c r="B48" s="53" t="s">
        <v>33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9">
        <f t="shared" si="0"/>
        <v>0</v>
      </c>
    </row>
    <row r="49" spans="1:18" ht="14.5" customHeight="1" x14ac:dyDescent="0.2">
      <c r="A49" s="23">
        <v>8</v>
      </c>
      <c r="B49" s="53" t="s">
        <v>34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9">
        <f t="shared" si="0"/>
        <v>0</v>
      </c>
    </row>
    <row r="50" spans="1:18" ht="14.5" customHeight="1" x14ac:dyDescent="0.2">
      <c r="A50" s="51" t="s">
        <v>35</v>
      </c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9"/>
    </row>
    <row r="51" spans="1:18" ht="14.5" customHeight="1" x14ac:dyDescent="0.2">
      <c r="A51" s="71">
        <v>1</v>
      </c>
      <c r="B51" s="53" t="s">
        <v>36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9">
        <f t="shared" si="0"/>
        <v>0</v>
      </c>
    </row>
    <row r="52" spans="1:18" ht="14.5" customHeight="1" x14ac:dyDescent="0.2">
      <c r="A52" s="71">
        <v>2</v>
      </c>
      <c r="B52" s="53" t="s">
        <v>37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9">
        <f t="shared" si="0"/>
        <v>0</v>
      </c>
    </row>
    <row r="53" spans="1:18" ht="14.5" customHeight="1" x14ac:dyDescent="0.2">
      <c r="A53" s="71">
        <v>3</v>
      </c>
      <c r="B53" s="53" t="s">
        <v>38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9">
        <f t="shared" si="0"/>
        <v>0</v>
      </c>
    </row>
    <row r="54" spans="1:18" ht="14.5" customHeight="1" x14ac:dyDescent="0.2">
      <c r="A54" s="71">
        <v>4</v>
      </c>
      <c r="B54" s="53" t="s">
        <v>96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9">
        <f t="shared" si="0"/>
        <v>0</v>
      </c>
    </row>
    <row r="55" spans="1:18" ht="14.5" customHeight="1" x14ac:dyDescent="0.2">
      <c r="A55" s="71">
        <v>5</v>
      </c>
      <c r="B55" s="53" t="s">
        <v>97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9">
        <f t="shared" si="0"/>
        <v>0</v>
      </c>
    </row>
    <row r="56" spans="1:18" ht="14.5" customHeight="1" x14ac:dyDescent="0.2">
      <c r="A56" s="71">
        <v>6</v>
      </c>
      <c r="B56" s="53" t="s">
        <v>39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9">
        <f t="shared" si="0"/>
        <v>0</v>
      </c>
    </row>
    <row r="57" spans="1:18" ht="14.5" customHeight="1" x14ac:dyDescent="0.2">
      <c r="A57" s="71">
        <v>7</v>
      </c>
      <c r="B57" s="53" t="s">
        <v>40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9">
        <f t="shared" si="0"/>
        <v>0</v>
      </c>
    </row>
    <row r="58" spans="1:18" ht="14.5" customHeight="1" x14ac:dyDescent="0.2">
      <c r="A58" s="71">
        <v>8</v>
      </c>
      <c r="B58" s="53" t="s">
        <v>41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9">
        <f t="shared" si="0"/>
        <v>0</v>
      </c>
    </row>
    <row r="59" spans="1:18" ht="14.5" customHeight="1" x14ac:dyDescent="0.2">
      <c r="A59" s="51" t="s">
        <v>42</v>
      </c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9"/>
    </row>
    <row r="60" spans="1:18" ht="14.5" customHeight="1" x14ac:dyDescent="0.2">
      <c r="A60" s="23">
        <v>1</v>
      </c>
      <c r="B60" s="25" t="s">
        <v>43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9">
        <f t="shared" si="0"/>
        <v>0</v>
      </c>
    </row>
    <row r="61" spans="1:18" ht="14.5" customHeight="1" x14ac:dyDescent="0.2">
      <c r="A61" s="23">
        <v>2</v>
      </c>
      <c r="B61" s="25" t="s">
        <v>44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9">
        <f t="shared" si="0"/>
        <v>0</v>
      </c>
    </row>
    <row r="62" spans="1:18" ht="14.5" customHeight="1" x14ac:dyDescent="0.2">
      <c r="A62" s="23">
        <v>3</v>
      </c>
      <c r="B62" s="25" t="s">
        <v>45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9">
        <f t="shared" si="0"/>
        <v>0</v>
      </c>
    </row>
    <row r="63" spans="1:18" ht="14.5" customHeight="1" x14ac:dyDescent="0.2">
      <c r="A63" s="51" t="s">
        <v>46</v>
      </c>
      <c r="B63" s="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9"/>
    </row>
    <row r="64" spans="1:18" ht="14.5" customHeight="1" x14ac:dyDescent="0.2">
      <c r="A64" s="71">
        <v>1</v>
      </c>
      <c r="B64" s="53" t="s">
        <v>100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9">
        <f t="shared" si="0"/>
        <v>0</v>
      </c>
    </row>
    <row r="65" spans="1:18" ht="14.5" customHeight="1" x14ac:dyDescent="0.2">
      <c r="A65" s="71">
        <v>2</v>
      </c>
      <c r="B65" s="53" t="s">
        <v>101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9">
        <f t="shared" si="0"/>
        <v>0</v>
      </c>
    </row>
    <row r="66" spans="1:18" ht="14.5" customHeight="1" x14ac:dyDescent="0.2">
      <c r="A66" s="71">
        <v>3</v>
      </c>
      <c r="B66" s="53" t="s">
        <v>47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9">
        <f t="shared" si="0"/>
        <v>0</v>
      </c>
    </row>
    <row r="67" spans="1:18" ht="14.5" customHeight="1" x14ac:dyDescent="0.2">
      <c r="A67" s="71">
        <v>4</v>
      </c>
      <c r="B67" s="53" t="s">
        <v>102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9">
        <f t="shared" si="0"/>
        <v>0</v>
      </c>
    </row>
    <row r="68" spans="1:18" ht="14.5" customHeight="1" x14ac:dyDescent="0.2">
      <c r="A68" s="71">
        <v>5</v>
      </c>
      <c r="B68" s="53" t="s">
        <v>48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9">
        <f t="shared" si="0"/>
        <v>0</v>
      </c>
    </row>
    <row r="69" spans="1:18" ht="14.5" customHeight="1" x14ac:dyDescent="0.2">
      <c r="A69" s="71">
        <v>6</v>
      </c>
      <c r="B69" s="53" t="s">
        <v>49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9">
        <f t="shared" si="0"/>
        <v>0</v>
      </c>
    </row>
    <row r="70" spans="1:18" ht="14.5" customHeight="1" x14ac:dyDescent="0.2">
      <c r="A70" s="71">
        <v>7</v>
      </c>
      <c r="B70" s="53" t="s">
        <v>52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9">
        <f t="shared" si="0"/>
        <v>0</v>
      </c>
    </row>
    <row r="71" spans="1:18" ht="14.5" customHeight="1" x14ac:dyDescent="0.2">
      <c r="A71" s="71">
        <v>8</v>
      </c>
      <c r="B71" s="53" t="s">
        <v>51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9">
        <f t="shared" si="0"/>
        <v>0</v>
      </c>
    </row>
    <row r="72" spans="1:18" ht="14.5" customHeight="1" x14ac:dyDescent="0.2">
      <c r="A72" s="71">
        <v>9</v>
      </c>
      <c r="B72" s="53" t="s">
        <v>104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9">
        <f t="shared" si="0"/>
        <v>0</v>
      </c>
    </row>
    <row r="73" spans="1:18" ht="14.5" customHeight="1" x14ac:dyDescent="0.2">
      <c r="A73" s="71">
        <v>10</v>
      </c>
      <c r="B73" s="53" t="s">
        <v>50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9">
        <f t="shared" ref="R73:R75" si="1">SUM(C73:Q73)</f>
        <v>0</v>
      </c>
    </row>
    <row r="74" spans="1:18" ht="14.5" customHeight="1" x14ac:dyDescent="0.2">
      <c r="A74" s="71">
        <v>11</v>
      </c>
      <c r="B74" s="53" t="s">
        <v>106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9">
        <f t="shared" si="1"/>
        <v>0</v>
      </c>
    </row>
    <row r="75" spans="1:18" ht="16" x14ac:dyDescent="0.2">
      <c r="A75" s="71">
        <v>12</v>
      </c>
      <c r="B75" s="53" t="s">
        <v>108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9">
        <f t="shared" si="1"/>
        <v>0</v>
      </c>
    </row>
    <row r="76" spans="1:18" x14ac:dyDescent="0.2">
      <c r="A76" s="49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9"/>
    </row>
    <row r="77" spans="1:18" ht="16" x14ac:dyDescent="0.2">
      <c r="A77" s="4" t="s">
        <v>53</v>
      </c>
      <c r="B77" s="3"/>
      <c r="C77" s="52"/>
      <c r="D77" s="52">
        <f t="shared" ref="D77:Q77" si="2">SUM(D8:D76)</f>
        <v>0</v>
      </c>
      <c r="E77" s="52">
        <f t="shared" si="2"/>
        <v>0</v>
      </c>
      <c r="F77" s="52">
        <f t="shared" si="2"/>
        <v>0</v>
      </c>
      <c r="G77" s="52">
        <f t="shared" si="2"/>
        <v>0</v>
      </c>
      <c r="H77" s="52">
        <f t="shared" si="2"/>
        <v>0</v>
      </c>
      <c r="I77" s="52">
        <f t="shared" si="2"/>
        <v>0</v>
      </c>
      <c r="J77" s="52">
        <f t="shared" si="2"/>
        <v>0</v>
      </c>
      <c r="K77" s="52">
        <f t="shared" si="2"/>
        <v>0</v>
      </c>
      <c r="L77" s="52">
        <f t="shared" si="2"/>
        <v>0</v>
      </c>
      <c r="M77" s="52">
        <f t="shared" si="2"/>
        <v>0</v>
      </c>
      <c r="N77" s="52">
        <f t="shared" si="2"/>
        <v>0</v>
      </c>
      <c r="O77" s="52">
        <f t="shared" si="2"/>
        <v>0</v>
      </c>
      <c r="P77" s="52">
        <f t="shared" si="2"/>
        <v>0</v>
      </c>
      <c r="Q77" s="52">
        <f t="shared" si="2"/>
        <v>0</v>
      </c>
      <c r="R77" s="32">
        <f>SUM(R7:R76)</f>
        <v>0</v>
      </c>
    </row>
    <row r="78" spans="1:18" x14ac:dyDescent="0.2">
      <c r="A78" s="73" t="s">
        <v>54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"/>
    </row>
    <row r="79" spans="1:18" x14ac:dyDescent="0.2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6"/>
    </row>
    <row r="80" spans="1:18" x14ac:dyDescent="0.2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6"/>
    </row>
  </sheetData>
  <mergeCells count="11">
    <mergeCell ref="A15:B15"/>
    <mergeCell ref="A27:B27"/>
    <mergeCell ref="A31:B31"/>
    <mergeCell ref="A7:B7"/>
    <mergeCell ref="A1:R1"/>
    <mergeCell ref="A2:R2"/>
    <mergeCell ref="A4:A6"/>
    <mergeCell ref="B4:B6"/>
    <mergeCell ref="C4:Q4"/>
    <mergeCell ref="R4:R6"/>
    <mergeCell ref="C5:Q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DCA7-495F-4E57-8776-F95677377436}">
  <dimension ref="A1:R80"/>
  <sheetViews>
    <sheetView workbookViewId="0">
      <selection activeCell="C6" sqref="C6:Q6"/>
    </sheetView>
  </sheetViews>
  <sheetFormatPr baseColWidth="10" defaultColWidth="8.83203125" defaultRowHeight="15" x14ac:dyDescent="0.2"/>
  <cols>
    <col min="2" max="2" width="25.6640625" bestFit="1" customWidth="1"/>
    <col min="3" max="17" width="7.6640625" customWidth="1"/>
    <col min="18" max="18" width="9.6640625" style="8" customWidth="1"/>
  </cols>
  <sheetData>
    <row r="1" spans="1:18" ht="18" customHeight="1" x14ac:dyDescent="0.25">
      <c r="A1" s="88" t="str">
        <f>'Setoran 1'!A1:R1</f>
        <v>REKAP JUAL BELI SAMPAH NASABAH BALI ARUM (BALI WASTE CYCLE)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 ht="18" customHeight="1" x14ac:dyDescent="0.2">
      <c r="A2" s="80" t="str">
        <f>'Data '!A2:D2</f>
        <v>TANGGAL : 8 Agustus2026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4" spans="1:18" s="8" customFormat="1" ht="14.5" customHeight="1" x14ac:dyDescent="0.2">
      <c r="A4" s="83" t="s">
        <v>63</v>
      </c>
      <c r="B4" s="83" t="s">
        <v>62</v>
      </c>
      <c r="C4" s="89" t="s">
        <v>59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1"/>
      <c r="R4" s="81" t="s">
        <v>53</v>
      </c>
    </row>
    <row r="5" spans="1:18" s="8" customFormat="1" ht="14.5" customHeight="1" x14ac:dyDescent="0.2">
      <c r="A5" s="83"/>
      <c r="B5" s="83"/>
      <c r="C5" s="89" t="s">
        <v>55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  <c r="R5" s="81"/>
    </row>
    <row r="6" spans="1:18" s="8" customFormat="1" ht="29" customHeight="1" x14ac:dyDescent="0.2">
      <c r="A6" s="83"/>
      <c r="B6" s="83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81"/>
    </row>
    <row r="7" spans="1:18" ht="14.5" customHeight="1" x14ac:dyDescent="0.2">
      <c r="A7" s="78" t="s">
        <v>4</v>
      </c>
      <c r="B7" s="7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9"/>
    </row>
    <row r="8" spans="1:18" ht="14.5" customHeight="1" x14ac:dyDescent="0.2">
      <c r="A8" s="23">
        <v>1</v>
      </c>
      <c r="B8" s="53" t="s">
        <v>72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9">
        <f>SUM(C8:Q8)</f>
        <v>0</v>
      </c>
    </row>
    <row r="9" spans="1:18" ht="14.5" customHeight="1" x14ac:dyDescent="0.2">
      <c r="A9" s="23">
        <v>2</v>
      </c>
      <c r="B9" s="53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9">
        <f t="shared" ref="R9:R72" si="0">SUM(C9:Q9)</f>
        <v>0</v>
      </c>
    </row>
    <row r="10" spans="1:18" ht="14.5" customHeight="1" x14ac:dyDescent="0.2">
      <c r="A10" s="23">
        <v>3</v>
      </c>
      <c r="B10" s="53" t="s">
        <v>73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9">
        <f t="shared" si="0"/>
        <v>0</v>
      </c>
    </row>
    <row r="11" spans="1:18" ht="14.5" customHeight="1" x14ac:dyDescent="0.2">
      <c r="A11" s="23">
        <v>4</v>
      </c>
      <c r="B11" s="5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9">
        <f t="shared" si="0"/>
        <v>0</v>
      </c>
    </row>
    <row r="12" spans="1:18" ht="14.5" customHeight="1" x14ac:dyDescent="0.2">
      <c r="A12" s="23">
        <v>5</v>
      </c>
      <c r="B12" s="53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9">
        <f t="shared" si="0"/>
        <v>0</v>
      </c>
    </row>
    <row r="13" spans="1:18" ht="14.5" customHeight="1" x14ac:dyDescent="0.2">
      <c r="A13" s="23">
        <v>6</v>
      </c>
      <c r="B13" s="5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9">
        <f t="shared" si="0"/>
        <v>0</v>
      </c>
    </row>
    <row r="14" spans="1:18" ht="14.5" customHeight="1" x14ac:dyDescent="0.2">
      <c r="A14" s="23">
        <v>7</v>
      </c>
      <c r="B14" s="53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9">
        <f t="shared" si="0"/>
        <v>0</v>
      </c>
    </row>
    <row r="15" spans="1:18" ht="14.5" customHeight="1" x14ac:dyDescent="0.2">
      <c r="A15" s="78" t="s">
        <v>74</v>
      </c>
      <c r="B15" s="7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9"/>
    </row>
    <row r="16" spans="1:18" ht="14.5" customHeight="1" x14ac:dyDescent="0.2">
      <c r="A16" s="54">
        <v>1</v>
      </c>
      <c r="B16" s="53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9">
        <f t="shared" si="0"/>
        <v>0</v>
      </c>
    </row>
    <row r="17" spans="1:18" ht="14.5" customHeight="1" x14ac:dyDescent="0.2">
      <c r="A17" s="54">
        <v>2</v>
      </c>
      <c r="B17" s="53" t="s">
        <v>75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9">
        <f t="shared" si="0"/>
        <v>0</v>
      </c>
    </row>
    <row r="18" spans="1:18" ht="14.5" customHeight="1" x14ac:dyDescent="0.2">
      <c r="A18" s="54">
        <v>3</v>
      </c>
      <c r="B18" s="61" t="s">
        <v>76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9">
        <f t="shared" si="0"/>
        <v>0</v>
      </c>
    </row>
    <row r="19" spans="1:18" ht="14.5" customHeight="1" x14ac:dyDescent="0.2">
      <c r="A19" s="54">
        <v>4</v>
      </c>
      <c r="B19" s="53" t="s">
        <v>11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>
        <f t="shared" si="0"/>
        <v>0</v>
      </c>
    </row>
    <row r="20" spans="1:18" ht="14.5" customHeight="1" x14ac:dyDescent="0.2">
      <c r="A20" s="54">
        <v>5</v>
      </c>
      <c r="B20" s="53" t="s">
        <v>12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9">
        <f t="shared" si="0"/>
        <v>0</v>
      </c>
    </row>
    <row r="21" spans="1:18" ht="14.5" customHeight="1" x14ac:dyDescent="0.2">
      <c r="A21" s="54">
        <v>6</v>
      </c>
      <c r="B21" s="53" t="s">
        <v>13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9">
        <f t="shared" si="0"/>
        <v>0</v>
      </c>
    </row>
    <row r="22" spans="1:18" ht="14.5" customHeight="1" x14ac:dyDescent="0.2">
      <c r="A22" s="54">
        <v>7</v>
      </c>
      <c r="B22" s="53" t="s">
        <v>14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9">
        <f t="shared" si="0"/>
        <v>0</v>
      </c>
    </row>
    <row r="23" spans="1:18" ht="14.5" customHeight="1" x14ac:dyDescent="0.2">
      <c r="A23" s="54">
        <v>8</v>
      </c>
      <c r="B23" s="53" t="s">
        <v>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9">
        <f t="shared" si="0"/>
        <v>0</v>
      </c>
    </row>
    <row r="24" spans="1:18" ht="14.5" customHeight="1" x14ac:dyDescent="0.2">
      <c r="A24" s="54">
        <v>9</v>
      </c>
      <c r="B24" s="53" t="s">
        <v>16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9">
        <f t="shared" si="0"/>
        <v>0</v>
      </c>
    </row>
    <row r="25" spans="1:18" ht="14.5" customHeight="1" x14ac:dyDescent="0.2">
      <c r="A25" s="54">
        <v>10</v>
      </c>
      <c r="B25" s="53" t="s">
        <v>21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9">
        <f t="shared" si="0"/>
        <v>0</v>
      </c>
    </row>
    <row r="26" spans="1:18" ht="14.5" customHeight="1" x14ac:dyDescent="0.2">
      <c r="A26" s="54">
        <v>11</v>
      </c>
      <c r="B26" s="53" t="s">
        <v>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9">
        <f t="shared" si="0"/>
        <v>0</v>
      </c>
    </row>
    <row r="27" spans="1:18" ht="14.5" customHeight="1" x14ac:dyDescent="0.2">
      <c r="A27" s="78" t="s">
        <v>83</v>
      </c>
      <c r="B27" s="7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9"/>
    </row>
    <row r="28" spans="1:18" ht="14.5" customHeight="1" x14ac:dyDescent="0.2">
      <c r="A28" s="54">
        <v>1</v>
      </c>
      <c r="B28" s="53" t="s">
        <v>17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9">
        <f t="shared" si="0"/>
        <v>0</v>
      </c>
    </row>
    <row r="29" spans="1:18" ht="14.5" customHeight="1" x14ac:dyDescent="0.2">
      <c r="A29" s="54">
        <v>2</v>
      </c>
      <c r="B29" s="53" t="s">
        <v>18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9">
        <f t="shared" si="0"/>
        <v>0</v>
      </c>
    </row>
    <row r="30" spans="1:18" ht="14.5" customHeight="1" x14ac:dyDescent="0.2">
      <c r="A30" s="54">
        <v>3</v>
      </c>
      <c r="B30" s="53" t="s">
        <v>19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9">
        <f t="shared" si="0"/>
        <v>0</v>
      </c>
    </row>
    <row r="31" spans="1:18" ht="14.5" customHeight="1" x14ac:dyDescent="0.2">
      <c r="A31" s="78" t="s">
        <v>85</v>
      </c>
      <c r="B31" s="7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9"/>
    </row>
    <row r="32" spans="1:18" ht="14.5" customHeight="1" x14ac:dyDescent="0.2">
      <c r="A32" s="54">
        <v>1</v>
      </c>
      <c r="B32" s="53" t="s">
        <v>23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9">
        <f t="shared" si="0"/>
        <v>0</v>
      </c>
    </row>
    <row r="33" spans="1:18" ht="14.5" customHeight="1" x14ac:dyDescent="0.2">
      <c r="A33" s="54">
        <v>2</v>
      </c>
      <c r="B33" s="53" t="s">
        <v>24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9">
        <f t="shared" si="0"/>
        <v>0</v>
      </c>
    </row>
    <row r="34" spans="1:18" ht="14.5" customHeight="1" x14ac:dyDescent="0.2">
      <c r="A34" s="54">
        <v>3</v>
      </c>
      <c r="B34" s="53" t="s">
        <v>25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9">
        <f t="shared" si="0"/>
        <v>0</v>
      </c>
    </row>
    <row r="35" spans="1:18" ht="14.5" customHeight="1" x14ac:dyDescent="0.2">
      <c r="A35" s="54">
        <v>4</v>
      </c>
      <c r="B35" s="53" t="s">
        <v>87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9">
        <f t="shared" si="0"/>
        <v>0</v>
      </c>
    </row>
    <row r="36" spans="1:18" ht="14.5" customHeight="1" x14ac:dyDescent="0.2">
      <c r="A36" s="54">
        <v>5</v>
      </c>
      <c r="B36" s="53" t="s">
        <v>88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9">
        <f t="shared" si="0"/>
        <v>0</v>
      </c>
    </row>
    <row r="37" spans="1:18" ht="14.5" customHeight="1" x14ac:dyDescent="0.2">
      <c r="A37" s="64">
        <v>6</v>
      </c>
      <c r="B37" s="65" t="s">
        <v>89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9">
        <f t="shared" si="0"/>
        <v>0</v>
      </c>
    </row>
    <row r="38" spans="1:18" ht="14.5" customHeight="1" x14ac:dyDescent="0.2">
      <c r="A38" s="51" t="s">
        <v>26</v>
      </c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9"/>
    </row>
    <row r="39" spans="1:18" ht="14.5" customHeight="1" x14ac:dyDescent="0.2">
      <c r="A39" s="26">
        <v>1</v>
      </c>
      <c r="B39" s="55" t="s">
        <v>92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9">
        <f t="shared" si="0"/>
        <v>0</v>
      </c>
    </row>
    <row r="40" spans="1:18" ht="14.5" customHeight="1" x14ac:dyDescent="0.2">
      <c r="A40" s="26">
        <v>2</v>
      </c>
      <c r="B40" s="53" t="s">
        <v>20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9">
        <f t="shared" si="0"/>
        <v>0</v>
      </c>
    </row>
    <row r="41" spans="1:18" ht="14.5" customHeight="1" x14ac:dyDescent="0.2">
      <c r="A41" s="70" t="s">
        <v>27</v>
      </c>
      <c r="B41" s="5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9"/>
    </row>
    <row r="42" spans="1:18" ht="14.5" customHeight="1" x14ac:dyDescent="0.2">
      <c r="A42" s="26">
        <v>1</v>
      </c>
      <c r="B42" s="53" t="s">
        <v>28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9">
        <f t="shared" si="0"/>
        <v>0</v>
      </c>
    </row>
    <row r="43" spans="1:18" ht="14.5" customHeight="1" x14ac:dyDescent="0.2">
      <c r="A43" s="23">
        <v>2</v>
      </c>
      <c r="B43" s="53" t="s">
        <v>29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9">
        <f t="shared" si="0"/>
        <v>0</v>
      </c>
    </row>
    <row r="44" spans="1:18" ht="14.5" customHeight="1" x14ac:dyDescent="0.2">
      <c r="A44" s="23">
        <v>3</v>
      </c>
      <c r="B44" s="53" t="s">
        <v>94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9">
        <f t="shared" si="0"/>
        <v>0</v>
      </c>
    </row>
    <row r="45" spans="1:18" ht="14.5" customHeight="1" x14ac:dyDescent="0.2">
      <c r="A45" s="23">
        <v>4</v>
      </c>
      <c r="B45" s="53" t="s">
        <v>30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9">
        <f t="shared" si="0"/>
        <v>0</v>
      </c>
    </row>
    <row r="46" spans="1:18" ht="14.5" customHeight="1" x14ac:dyDescent="0.2">
      <c r="A46" s="23">
        <v>5</v>
      </c>
      <c r="B46" s="53" t="s">
        <v>31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9">
        <f t="shared" si="0"/>
        <v>0</v>
      </c>
    </row>
    <row r="47" spans="1:18" ht="14.5" customHeight="1" x14ac:dyDescent="0.2">
      <c r="A47" s="23">
        <v>6</v>
      </c>
      <c r="B47" s="53" t="s">
        <v>32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9">
        <f t="shared" si="0"/>
        <v>0</v>
      </c>
    </row>
    <row r="48" spans="1:18" ht="14.5" customHeight="1" x14ac:dyDescent="0.2">
      <c r="A48" s="23">
        <v>7</v>
      </c>
      <c r="B48" s="53" t="s">
        <v>33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9">
        <f t="shared" si="0"/>
        <v>0</v>
      </c>
    </row>
    <row r="49" spans="1:18" ht="14.5" customHeight="1" x14ac:dyDescent="0.2">
      <c r="A49" s="23">
        <v>8</v>
      </c>
      <c r="B49" s="53" t="s">
        <v>34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9">
        <f t="shared" si="0"/>
        <v>0</v>
      </c>
    </row>
    <row r="50" spans="1:18" ht="14.5" customHeight="1" x14ac:dyDescent="0.2">
      <c r="A50" s="51" t="s">
        <v>35</v>
      </c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9"/>
    </row>
    <row r="51" spans="1:18" ht="14.5" customHeight="1" x14ac:dyDescent="0.2">
      <c r="A51" s="71">
        <v>1</v>
      </c>
      <c r="B51" s="53" t="s">
        <v>36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9">
        <f t="shared" si="0"/>
        <v>0</v>
      </c>
    </row>
    <row r="52" spans="1:18" ht="14.5" customHeight="1" x14ac:dyDescent="0.2">
      <c r="A52" s="71">
        <v>2</v>
      </c>
      <c r="B52" s="53" t="s">
        <v>37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9">
        <f t="shared" si="0"/>
        <v>0</v>
      </c>
    </row>
    <row r="53" spans="1:18" ht="14.5" customHeight="1" x14ac:dyDescent="0.2">
      <c r="A53" s="71">
        <v>3</v>
      </c>
      <c r="B53" s="53" t="s">
        <v>38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9">
        <f t="shared" si="0"/>
        <v>0</v>
      </c>
    </row>
    <row r="54" spans="1:18" ht="14.5" customHeight="1" x14ac:dyDescent="0.2">
      <c r="A54" s="71">
        <v>4</v>
      </c>
      <c r="B54" s="53" t="s">
        <v>96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9">
        <f t="shared" si="0"/>
        <v>0</v>
      </c>
    </row>
    <row r="55" spans="1:18" ht="14.5" customHeight="1" x14ac:dyDescent="0.2">
      <c r="A55" s="71">
        <v>5</v>
      </c>
      <c r="B55" s="53" t="s">
        <v>97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9">
        <f t="shared" si="0"/>
        <v>0</v>
      </c>
    </row>
    <row r="56" spans="1:18" ht="14.5" customHeight="1" x14ac:dyDescent="0.2">
      <c r="A56" s="71">
        <v>6</v>
      </c>
      <c r="B56" s="53" t="s">
        <v>39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9">
        <f t="shared" si="0"/>
        <v>0</v>
      </c>
    </row>
    <row r="57" spans="1:18" ht="14.5" customHeight="1" x14ac:dyDescent="0.2">
      <c r="A57" s="71">
        <v>7</v>
      </c>
      <c r="B57" s="53" t="s">
        <v>40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9">
        <f t="shared" si="0"/>
        <v>0</v>
      </c>
    </row>
    <row r="58" spans="1:18" ht="14.5" customHeight="1" x14ac:dyDescent="0.2">
      <c r="A58" s="71">
        <v>8</v>
      </c>
      <c r="B58" s="53" t="s">
        <v>41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9">
        <f t="shared" si="0"/>
        <v>0</v>
      </c>
    </row>
    <row r="59" spans="1:18" ht="14.5" customHeight="1" x14ac:dyDescent="0.2">
      <c r="A59" s="51" t="s">
        <v>42</v>
      </c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9"/>
    </row>
    <row r="60" spans="1:18" ht="14.5" customHeight="1" x14ac:dyDescent="0.2">
      <c r="A60" s="23">
        <v>1</v>
      </c>
      <c r="B60" s="25" t="s">
        <v>43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9">
        <f t="shared" si="0"/>
        <v>0</v>
      </c>
    </row>
    <row r="61" spans="1:18" ht="14.5" customHeight="1" x14ac:dyDescent="0.2">
      <c r="A61" s="23">
        <v>2</v>
      </c>
      <c r="B61" s="25" t="s">
        <v>44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9">
        <f t="shared" si="0"/>
        <v>0</v>
      </c>
    </row>
    <row r="62" spans="1:18" ht="14.5" customHeight="1" x14ac:dyDescent="0.2">
      <c r="A62" s="23">
        <v>3</v>
      </c>
      <c r="B62" s="25" t="s">
        <v>45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9">
        <f t="shared" si="0"/>
        <v>0</v>
      </c>
    </row>
    <row r="63" spans="1:18" ht="14.5" customHeight="1" x14ac:dyDescent="0.2">
      <c r="A63" s="51" t="s">
        <v>46</v>
      </c>
      <c r="B63" s="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9"/>
    </row>
    <row r="64" spans="1:18" ht="14.5" customHeight="1" x14ac:dyDescent="0.2">
      <c r="A64" s="71">
        <v>1</v>
      </c>
      <c r="B64" s="53" t="s">
        <v>100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9">
        <f t="shared" si="0"/>
        <v>0</v>
      </c>
    </row>
    <row r="65" spans="1:18" ht="14.5" customHeight="1" x14ac:dyDescent="0.2">
      <c r="A65" s="71">
        <v>2</v>
      </c>
      <c r="B65" s="53" t="s">
        <v>101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9">
        <f t="shared" si="0"/>
        <v>0</v>
      </c>
    </row>
    <row r="66" spans="1:18" ht="14.5" customHeight="1" x14ac:dyDescent="0.2">
      <c r="A66" s="71">
        <v>3</v>
      </c>
      <c r="B66" s="53" t="s">
        <v>47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9">
        <f t="shared" si="0"/>
        <v>0</v>
      </c>
    </row>
    <row r="67" spans="1:18" ht="14.5" customHeight="1" x14ac:dyDescent="0.2">
      <c r="A67" s="71">
        <v>4</v>
      </c>
      <c r="B67" s="53" t="s">
        <v>102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9">
        <f t="shared" si="0"/>
        <v>0</v>
      </c>
    </row>
    <row r="68" spans="1:18" ht="14.5" customHeight="1" x14ac:dyDescent="0.2">
      <c r="A68" s="71">
        <v>5</v>
      </c>
      <c r="B68" s="53" t="s">
        <v>48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9">
        <f t="shared" si="0"/>
        <v>0</v>
      </c>
    </row>
    <row r="69" spans="1:18" ht="14.5" customHeight="1" x14ac:dyDescent="0.2">
      <c r="A69" s="71">
        <v>6</v>
      </c>
      <c r="B69" s="53" t="s">
        <v>49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9">
        <f t="shared" si="0"/>
        <v>0</v>
      </c>
    </row>
    <row r="70" spans="1:18" ht="14.5" customHeight="1" x14ac:dyDescent="0.2">
      <c r="A70" s="71">
        <v>7</v>
      </c>
      <c r="B70" s="53" t="s">
        <v>52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9">
        <f t="shared" si="0"/>
        <v>0</v>
      </c>
    </row>
    <row r="71" spans="1:18" ht="14.5" customHeight="1" x14ac:dyDescent="0.2">
      <c r="A71" s="71">
        <v>8</v>
      </c>
      <c r="B71" s="53" t="s">
        <v>51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9">
        <f t="shared" si="0"/>
        <v>0</v>
      </c>
    </row>
    <row r="72" spans="1:18" ht="14.5" customHeight="1" x14ac:dyDescent="0.2">
      <c r="A72" s="71">
        <v>9</v>
      </c>
      <c r="B72" s="53" t="s">
        <v>104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9">
        <f t="shared" si="0"/>
        <v>0</v>
      </c>
    </row>
    <row r="73" spans="1:18" ht="14.5" customHeight="1" x14ac:dyDescent="0.2">
      <c r="A73" s="71">
        <v>10</v>
      </c>
      <c r="B73" s="53" t="s">
        <v>50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9">
        <f t="shared" ref="R73:R75" si="1">SUM(C73:Q73)</f>
        <v>0</v>
      </c>
    </row>
    <row r="74" spans="1:18" ht="14.5" customHeight="1" x14ac:dyDescent="0.2">
      <c r="A74" s="71">
        <v>11</v>
      </c>
      <c r="B74" s="53" t="s">
        <v>106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9">
        <f t="shared" si="1"/>
        <v>0</v>
      </c>
    </row>
    <row r="75" spans="1:18" ht="16" x14ac:dyDescent="0.2">
      <c r="A75" s="71">
        <v>12</v>
      </c>
      <c r="B75" s="53" t="s">
        <v>108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9">
        <f t="shared" si="1"/>
        <v>0</v>
      </c>
    </row>
    <row r="76" spans="1:18" x14ac:dyDescent="0.2">
      <c r="A76" s="49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9"/>
    </row>
    <row r="77" spans="1:18" ht="16" x14ac:dyDescent="0.2">
      <c r="A77" s="4" t="s">
        <v>53</v>
      </c>
      <c r="B77" s="3"/>
      <c r="C77" s="52">
        <f t="shared" ref="C77:Q77" si="2">SUM(C8:C76)</f>
        <v>0</v>
      </c>
      <c r="D77" s="52">
        <f t="shared" si="2"/>
        <v>0</v>
      </c>
      <c r="E77" s="52">
        <f t="shared" si="2"/>
        <v>0</v>
      </c>
      <c r="F77" s="52">
        <f t="shared" si="2"/>
        <v>0</v>
      </c>
      <c r="G77" s="52">
        <f t="shared" si="2"/>
        <v>0</v>
      </c>
      <c r="H77" s="52">
        <f t="shared" si="2"/>
        <v>0</v>
      </c>
      <c r="I77" s="52">
        <f t="shared" si="2"/>
        <v>0</v>
      </c>
      <c r="J77" s="52">
        <f t="shared" si="2"/>
        <v>0</v>
      </c>
      <c r="K77" s="52">
        <f t="shared" si="2"/>
        <v>0</v>
      </c>
      <c r="L77" s="52">
        <f t="shared" si="2"/>
        <v>0</v>
      </c>
      <c r="M77" s="52">
        <f t="shared" si="2"/>
        <v>0</v>
      </c>
      <c r="N77" s="52">
        <f t="shared" si="2"/>
        <v>0</v>
      </c>
      <c r="O77" s="52">
        <f t="shared" si="2"/>
        <v>0</v>
      </c>
      <c r="P77" s="52">
        <f t="shared" si="2"/>
        <v>0</v>
      </c>
      <c r="Q77" s="52">
        <f t="shared" si="2"/>
        <v>0</v>
      </c>
      <c r="R77" s="32">
        <f>SUM(R7:R76)</f>
        <v>0</v>
      </c>
    </row>
    <row r="78" spans="1:18" x14ac:dyDescent="0.2">
      <c r="A78" s="73" t="s">
        <v>54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"/>
    </row>
    <row r="79" spans="1:18" x14ac:dyDescent="0.2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6"/>
    </row>
    <row r="80" spans="1:18" x14ac:dyDescent="0.2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6"/>
    </row>
  </sheetData>
  <mergeCells count="11">
    <mergeCell ref="A15:B15"/>
    <mergeCell ref="A27:B27"/>
    <mergeCell ref="A31:B31"/>
    <mergeCell ref="A7:B7"/>
    <mergeCell ref="A1:R1"/>
    <mergeCell ref="A2:R2"/>
    <mergeCell ref="A4:A6"/>
    <mergeCell ref="B4:B6"/>
    <mergeCell ref="C4:Q4"/>
    <mergeCell ref="R4:R6"/>
    <mergeCell ref="C5:Q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BFC8-517D-4E17-83E0-13DC8E81FBF9}">
  <dimension ref="A1:BA80"/>
  <sheetViews>
    <sheetView zoomScale="120" zoomScaleNormal="120" workbookViewId="0">
      <pane xSplit="4" ySplit="6" topLeftCell="AO66" activePane="bottomRight" state="frozen"/>
      <selection pane="topRight" activeCell="E1" sqref="E1"/>
      <selection pane="bottomLeft" activeCell="A7" sqref="A7"/>
      <selection pane="bottomRight" activeCell="AD73" sqref="AD73"/>
    </sheetView>
  </sheetViews>
  <sheetFormatPr baseColWidth="10" defaultColWidth="8.83203125" defaultRowHeight="15" x14ac:dyDescent="0.2"/>
  <cols>
    <col min="1" max="1" width="9.5" style="15" customWidth="1"/>
    <col min="2" max="2" width="18.33203125" style="15" customWidth="1"/>
    <col min="3" max="3" width="8.83203125" style="47"/>
    <col min="4" max="4" width="11.5" style="47" bestFit="1" customWidth="1"/>
    <col min="5" max="5" width="8.83203125" style="10"/>
    <col min="6" max="7" width="10.6640625" style="11" customWidth="1"/>
    <col min="8" max="8" width="8.83203125" style="10"/>
    <col min="9" max="10" width="10.6640625" style="11" customWidth="1"/>
    <col min="11" max="11" width="8.83203125" style="10"/>
    <col min="12" max="13" width="10.6640625" style="11" customWidth="1"/>
    <col min="14" max="14" width="8.83203125" style="10"/>
    <col min="15" max="16" width="10.6640625" style="11" customWidth="1"/>
    <col min="17" max="17" width="8.83203125" style="10"/>
    <col min="18" max="19" width="10.6640625" style="11" customWidth="1"/>
    <col min="20" max="20" width="8.83203125" style="10"/>
    <col min="21" max="22" width="10.6640625" style="11" customWidth="1"/>
    <col min="23" max="23" width="8.83203125" style="10"/>
    <col min="24" max="25" width="10.6640625" style="11" customWidth="1"/>
    <col min="26" max="26" width="8.83203125" style="10"/>
    <col min="27" max="28" width="10.6640625" style="11" customWidth="1"/>
    <col min="29" max="29" width="8.83203125" style="10"/>
    <col min="30" max="31" width="10.6640625" style="11" customWidth="1"/>
    <col min="32" max="32" width="8.83203125" style="29" customWidth="1"/>
    <col min="33" max="34" width="10.6640625" style="11" customWidth="1"/>
    <col min="35" max="35" width="8.83203125" style="29" customWidth="1"/>
    <col min="36" max="37" width="10.6640625" style="11" customWidth="1"/>
    <col min="38" max="38" width="8.83203125" style="29" customWidth="1"/>
    <col min="39" max="40" width="10.6640625" style="11" customWidth="1"/>
    <col min="41" max="41" width="8.83203125" style="29" customWidth="1"/>
    <col min="42" max="43" width="10.6640625" style="11" customWidth="1"/>
    <col min="44" max="44" width="8.83203125" style="29" customWidth="1"/>
    <col min="45" max="46" width="10.6640625" style="11" customWidth="1"/>
    <col min="47" max="47" width="8.83203125" style="29"/>
    <col min="48" max="49" width="10.6640625" style="11" customWidth="1"/>
    <col min="50" max="50" width="8.83203125" style="12"/>
    <col min="51" max="51" width="12.6640625" style="13" customWidth="1"/>
    <col min="52" max="52" width="12.6640625" style="14" customWidth="1"/>
    <col min="53" max="53" width="12.6640625" style="15" customWidth="1"/>
    <col min="54" max="16384" width="8.83203125" style="15"/>
  </cols>
  <sheetData>
    <row r="1" spans="1:53" ht="19" x14ac:dyDescent="0.2">
      <c r="A1" s="94" t="str">
        <f>'Setoran 1'!A1:R1</f>
        <v>REKAP JUAL BELI SAMPAH NASABAH BALI ARUM (BALI WASTE CYCLE)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</row>
    <row r="2" spans="1:53" ht="18" customHeight="1" x14ac:dyDescent="0.2">
      <c r="A2" s="94" t="str">
        <f>'Data '!A2</f>
        <v>TANGGAL : 8 Agustus2026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37"/>
      <c r="N2" s="37"/>
      <c r="O2" s="37"/>
      <c r="P2" s="37"/>
      <c r="Q2" s="37"/>
      <c r="R2" s="37"/>
      <c r="S2" s="37"/>
      <c r="T2" s="37"/>
      <c r="U2" s="37"/>
      <c r="V2" s="37"/>
    </row>
    <row r="4" spans="1:53" s="12" customFormat="1" ht="14.5" customHeight="1" x14ac:dyDescent="0.2">
      <c r="A4" s="83" t="s">
        <v>63</v>
      </c>
      <c r="B4" s="83" t="s">
        <v>62</v>
      </c>
      <c r="C4" s="95" t="s">
        <v>61</v>
      </c>
      <c r="D4" s="86" t="s">
        <v>3</v>
      </c>
      <c r="E4" s="98" t="s">
        <v>55</v>
      </c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81" t="s">
        <v>53</v>
      </c>
      <c r="AY4" s="93" t="s">
        <v>64</v>
      </c>
      <c r="AZ4" s="82" t="s">
        <v>65</v>
      </c>
      <c r="BA4" s="83" t="s">
        <v>66</v>
      </c>
    </row>
    <row r="5" spans="1:53" s="12" customFormat="1" ht="14.5" customHeight="1" x14ac:dyDescent="0.2">
      <c r="A5" s="83"/>
      <c r="B5" s="83"/>
      <c r="C5" s="96"/>
      <c r="D5" s="86"/>
      <c r="E5" s="92" t="str">
        <f>'Setoran 1'!C6</f>
        <v>010 Bernadeth</v>
      </c>
      <c r="F5" s="92"/>
      <c r="G5" s="92"/>
      <c r="H5" s="92" t="str">
        <f>'Setoran 1'!D6</f>
        <v>042 Bu Intan</v>
      </c>
      <c r="I5" s="92"/>
      <c r="J5" s="92"/>
      <c r="K5" s="92" t="str">
        <f>'Setoran 1'!E6</f>
        <v>058 Sawitri</v>
      </c>
      <c r="L5" s="92"/>
      <c r="M5" s="92"/>
      <c r="N5" s="92" t="str">
        <f>'Setoran 1'!F6</f>
        <v>016 K. Nining</v>
      </c>
      <c r="O5" s="92"/>
      <c r="P5" s="92"/>
      <c r="Q5" s="92" t="str">
        <f>'Setoran 1'!G6</f>
        <v>045 Inggrid</v>
      </c>
      <c r="R5" s="92"/>
      <c r="S5" s="92"/>
      <c r="T5" s="92" t="str">
        <f>'Setoran 1'!H6</f>
        <v>001 Nining</v>
      </c>
      <c r="U5" s="92"/>
      <c r="V5" s="92"/>
      <c r="W5" s="92" t="str">
        <f>'Setoran 1'!I6</f>
        <v>005 Inka</v>
      </c>
      <c r="X5" s="92"/>
      <c r="Y5" s="92"/>
      <c r="Z5" s="92" t="str">
        <f>'Setoran 1'!J6</f>
        <v>059 Edvin</v>
      </c>
      <c r="AA5" s="92"/>
      <c r="AB5" s="92"/>
      <c r="AC5" s="92" t="str">
        <f>'Setoran 1'!K6</f>
        <v>036 Listina</v>
      </c>
      <c r="AD5" s="92"/>
      <c r="AE5" s="92"/>
      <c r="AF5" s="92" t="str">
        <f>'Setoran 1'!L6</f>
        <v>041 Yanti</v>
      </c>
      <c r="AG5" s="92"/>
      <c r="AH5" s="92"/>
      <c r="AI5" s="92">
        <f>'Setoran 1'!M6</f>
        <v>0</v>
      </c>
      <c r="AJ5" s="92"/>
      <c r="AK5" s="92"/>
      <c r="AL5" s="92">
        <f>'Setoran 1'!N6</f>
        <v>0</v>
      </c>
      <c r="AM5" s="92"/>
      <c r="AN5" s="92"/>
      <c r="AO5" s="92">
        <f>'Setoran 1'!O6</f>
        <v>0</v>
      </c>
      <c r="AP5" s="92"/>
      <c r="AQ5" s="92"/>
      <c r="AR5" s="92">
        <f>'Setoran 1'!P6</f>
        <v>0</v>
      </c>
      <c r="AS5" s="92"/>
      <c r="AT5" s="92"/>
      <c r="AU5" s="92">
        <f>'Setoran 1'!Q6</f>
        <v>0</v>
      </c>
      <c r="AV5" s="92"/>
      <c r="AW5" s="92"/>
      <c r="AX5" s="81"/>
      <c r="AY5" s="93"/>
      <c r="AZ5" s="82"/>
      <c r="BA5" s="83"/>
    </row>
    <row r="6" spans="1:53" s="12" customFormat="1" ht="29" customHeight="1" x14ac:dyDescent="0.2">
      <c r="A6" s="83"/>
      <c r="B6" s="83"/>
      <c r="C6" s="97"/>
      <c r="D6" s="86"/>
      <c r="E6" s="16" t="s">
        <v>56</v>
      </c>
      <c r="F6" s="17" t="s">
        <v>58</v>
      </c>
      <c r="G6" s="17" t="s">
        <v>57</v>
      </c>
      <c r="H6" s="16" t="s">
        <v>56</v>
      </c>
      <c r="I6" s="17" t="s">
        <v>58</v>
      </c>
      <c r="J6" s="17" t="s">
        <v>57</v>
      </c>
      <c r="K6" s="16" t="s">
        <v>56</v>
      </c>
      <c r="L6" s="17" t="s">
        <v>58</v>
      </c>
      <c r="M6" s="17" t="s">
        <v>57</v>
      </c>
      <c r="N6" s="16" t="s">
        <v>56</v>
      </c>
      <c r="O6" s="17" t="s">
        <v>58</v>
      </c>
      <c r="P6" s="17" t="s">
        <v>57</v>
      </c>
      <c r="Q6" s="16" t="s">
        <v>56</v>
      </c>
      <c r="R6" s="17" t="s">
        <v>58</v>
      </c>
      <c r="S6" s="17" t="s">
        <v>57</v>
      </c>
      <c r="T6" s="16" t="s">
        <v>56</v>
      </c>
      <c r="U6" s="17" t="s">
        <v>58</v>
      </c>
      <c r="V6" s="17" t="s">
        <v>57</v>
      </c>
      <c r="W6" s="16" t="s">
        <v>56</v>
      </c>
      <c r="X6" s="17" t="s">
        <v>58</v>
      </c>
      <c r="Y6" s="17" t="s">
        <v>57</v>
      </c>
      <c r="Z6" s="16" t="s">
        <v>56</v>
      </c>
      <c r="AA6" s="17" t="s">
        <v>58</v>
      </c>
      <c r="AB6" s="17" t="s">
        <v>57</v>
      </c>
      <c r="AC6" s="16" t="s">
        <v>56</v>
      </c>
      <c r="AD6" s="17" t="s">
        <v>58</v>
      </c>
      <c r="AE6" s="17" t="s">
        <v>57</v>
      </c>
      <c r="AF6" s="30" t="s">
        <v>56</v>
      </c>
      <c r="AG6" s="17" t="s">
        <v>58</v>
      </c>
      <c r="AH6" s="17" t="s">
        <v>57</v>
      </c>
      <c r="AI6" s="30" t="s">
        <v>56</v>
      </c>
      <c r="AJ6" s="17" t="s">
        <v>58</v>
      </c>
      <c r="AK6" s="17" t="s">
        <v>57</v>
      </c>
      <c r="AL6" s="30" t="s">
        <v>56</v>
      </c>
      <c r="AM6" s="17" t="s">
        <v>58</v>
      </c>
      <c r="AN6" s="17" t="s">
        <v>57</v>
      </c>
      <c r="AO6" s="30" t="s">
        <v>56</v>
      </c>
      <c r="AP6" s="17" t="s">
        <v>58</v>
      </c>
      <c r="AQ6" s="17" t="s">
        <v>57</v>
      </c>
      <c r="AR6" s="30" t="s">
        <v>56</v>
      </c>
      <c r="AS6" s="17" t="s">
        <v>58</v>
      </c>
      <c r="AT6" s="17" t="s">
        <v>57</v>
      </c>
      <c r="AU6" s="30" t="s">
        <v>56</v>
      </c>
      <c r="AV6" s="17" t="s">
        <v>58</v>
      </c>
      <c r="AW6" s="17" t="s">
        <v>57</v>
      </c>
      <c r="AX6" s="81"/>
      <c r="AY6" s="93"/>
      <c r="AZ6" s="82"/>
      <c r="BA6" s="83"/>
    </row>
    <row r="7" spans="1:53" ht="14.5" customHeight="1" x14ac:dyDescent="0.2">
      <c r="A7" s="78" t="s">
        <v>4</v>
      </c>
      <c r="B7" s="78"/>
      <c r="C7" s="40"/>
      <c r="D7" s="40"/>
      <c r="E7" s="18"/>
      <c r="F7" s="19"/>
      <c r="G7" s="19"/>
      <c r="H7" s="18"/>
      <c r="I7" s="19"/>
      <c r="J7" s="19"/>
      <c r="K7" s="18"/>
      <c r="L7" s="19"/>
      <c r="M7" s="19"/>
      <c r="N7" s="18"/>
      <c r="O7" s="19"/>
      <c r="P7" s="19"/>
      <c r="Q7" s="18"/>
      <c r="R7" s="19"/>
      <c r="S7" s="19"/>
      <c r="T7" s="18"/>
      <c r="U7" s="19"/>
      <c r="V7" s="19"/>
      <c r="W7" s="18"/>
      <c r="X7" s="19"/>
      <c r="Y7" s="19"/>
      <c r="Z7" s="18"/>
      <c r="AA7" s="19"/>
      <c r="AB7" s="19"/>
      <c r="AC7" s="18"/>
      <c r="AD7" s="19"/>
      <c r="AE7" s="19"/>
      <c r="AF7" s="31"/>
      <c r="AG7" s="19"/>
      <c r="AH7" s="19"/>
      <c r="AI7" s="31"/>
      <c r="AJ7" s="19"/>
      <c r="AK7" s="19"/>
      <c r="AL7" s="31"/>
      <c r="AM7" s="19"/>
      <c r="AN7" s="19"/>
      <c r="AO7" s="31"/>
      <c r="AP7" s="19"/>
      <c r="AQ7" s="19"/>
      <c r="AR7" s="31"/>
      <c r="AS7" s="19"/>
      <c r="AT7" s="19"/>
      <c r="AU7" s="31"/>
      <c r="AV7" s="19"/>
      <c r="AW7" s="19"/>
      <c r="AX7" s="28"/>
      <c r="AY7" s="28"/>
      <c r="AZ7" s="28"/>
      <c r="BA7" s="28"/>
    </row>
    <row r="8" spans="1:53" ht="14.5" customHeight="1" x14ac:dyDescent="0.2">
      <c r="A8" s="23">
        <v>1</v>
      </c>
      <c r="B8" s="53" t="s">
        <v>72</v>
      </c>
      <c r="C8" s="57">
        <f>'Data '!C8</f>
        <v>400</v>
      </c>
      <c r="D8" s="57">
        <f>'Data '!D8</f>
        <v>500</v>
      </c>
      <c r="E8" s="39">
        <f>'Setoran 1'!C8</f>
        <v>1</v>
      </c>
      <c r="F8" s="19">
        <f>E8*$C8</f>
        <v>400</v>
      </c>
      <c r="G8" s="19">
        <f>E8*$D8</f>
        <v>500</v>
      </c>
      <c r="H8" s="39">
        <f>'Setoran 1'!D8</f>
        <v>0.8</v>
      </c>
      <c r="I8" s="19">
        <f>H8*$C8</f>
        <v>320</v>
      </c>
      <c r="J8" s="19">
        <f>H8*$D8</f>
        <v>400</v>
      </c>
      <c r="K8" s="39">
        <f>'Setoran 1'!E8</f>
        <v>0</v>
      </c>
      <c r="L8" s="19">
        <f>K8*$C8</f>
        <v>0</v>
      </c>
      <c r="M8" s="19">
        <f>K8*$D8</f>
        <v>0</v>
      </c>
      <c r="N8" s="39">
        <f>'Setoran 1'!F8</f>
        <v>0</v>
      </c>
      <c r="O8" s="19">
        <f>N8*$C8</f>
        <v>0</v>
      </c>
      <c r="P8" s="19">
        <f>N8*$D8</f>
        <v>0</v>
      </c>
      <c r="Q8" s="39">
        <f>'Setoran 1'!G8</f>
        <v>0.44</v>
      </c>
      <c r="R8" s="19">
        <f>Q8*$C8</f>
        <v>176</v>
      </c>
      <c r="S8" s="19">
        <f>Q8*$D8</f>
        <v>220</v>
      </c>
      <c r="T8" s="39">
        <f>'Setoran 1'!H8</f>
        <v>0</v>
      </c>
      <c r="U8" s="19">
        <f>T8*$C8</f>
        <v>0</v>
      </c>
      <c r="V8" s="19">
        <f>T8*$D8</f>
        <v>0</v>
      </c>
      <c r="W8" s="39">
        <f>'Setoran 1'!I8</f>
        <v>0.81</v>
      </c>
      <c r="X8" s="19">
        <f>W8*$C8</f>
        <v>324</v>
      </c>
      <c r="Y8" s="19">
        <f>W8*$D8</f>
        <v>405</v>
      </c>
      <c r="Z8" s="39">
        <f>'Setoran 1'!J8</f>
        <v>0.45</v>
      </c>
      <c r="AA8" s="19">
        <f>Z8*$C8</f>
        <v>180</v>
      </c>
      <c r="AB8" s="19">
        <f>Z8*$D8</f>
        <v>225</v>
      </c>
      <c r="AC8" s="39">
        <f>'Setoran 1'!K8</f>
        <v>0</v>
      </c>
      <c r="AD8" s="19">
        <f>AC8*$C8</f>
        <v>0</v>
      </c>
      <c r="AE8" s="19">
        <f>AC8*$D8</f>
        <v>0</v>
      </c>
      <c r="AF8" s="38">
        <f>'Setoran 1'!L8</f>
        <v>0.57999999999999996</v>
      </c>
      <c r="AG8" s="19">
        <f>AF8*$C8</f>
        <v>231.99999999999997</v>
      </c>
      <c r="AH8" s="19">
        <f>AF8*$D8</f>
        <v>290</v>
      </c>
      <c r="AI8" s="38">
        <f>'Setoran 1'!M8</f>
        <v>0</v>
      </c>
      <c r="AJ8" s="19">
        <f>AI8*$C8</f>
        <v>0</v>
      </c>
      <c r="AK8" s="19">
        <f>AI8*$D8</f>
        <v>0</v>
      </c>
      <c r="AL8" s="38">
        <f>'Setoran 1'!N8</f>
        <v>0</v>
      </c>
      <c r="AM8" s="19">
        <f>AL8*$C8</f>
        <v>0</v>
      </c>
      <c r="AN8" s="19">
        <f>AL8*$D8</f>
        <v>0</v>
      </c>
      <c r="AO8" s="38">
        <f>'Setoran 1'!O8</f>
        <v>0</v>
      </c>
      <c r="AP8" s="19">
        <f>AO8*$C8</f>
        <v>0</v>
      </c>
      <c r="AQ8" s="19">
        <f>AO8*$D8</f>
        <v>0</v>
      </c>
      <c r="AR8" s="38">
        <f>'Setoran 1'!P8</f>
        <v>0</v>
      </c>
      <c r="AS8" s="19">
        <f>AR8*$C8</f>
        <v>0</v>
      </c>
      <c r="AT8" s="19">
        <f>AR8*$D8</f>
        <v>0</v>
      </c>
      <c r="AU8" s="38">
        <f>'Setoran 1'!Q8</f>
        <v>0</v>
      </c>
      <c r="AV8" s="19">
        <f>AU8*$C8</f>
        <v>0</v>
      </c>
      <c r="AW8" s="19">
        <f>AU8*$D8</f>
        <v>0</v>
      </c>
      <c r="AX8" s="39">
        <f>SUM(E8,H8,K8,N8,Q8,T8,W8,Z8,AC8,AF8,AI8,AL8,AO8,AR8,AU8)</f>
        <v>4.08</v>
      </c>
      <c r="AY8" s="38">
        <f>SUM(F8,I8,L8,O8,R8,U8,X8,AA8,AD8,,AG8,AJ8,AM8,AP8,AS8,AV8)</f>
        <v>1632</v>
      </c>
      <c r="AZ8" s="21">
        <f>SUM(G8,J8,M8,P8,S8,V8,Y8,AB8,AE8,AH8,AK8,AN8,AQ8,AT8,AW8)</f>
        <v>2040</v>
      </c>
      <c r="BA8" s="22">
        <f>AZ8-AY8</f>
        <v>408</v>
      </c>
    </row>
    <row r="9" spans="1:53" ht="14.5" customHeight="1" x14ac:dyDescent="0.2">
      <c r="A9" s="23">
        <v>2</v>
      </c>
      <c r="B9" s="53" t="s">
        <v>5</v>
      </c>
      <c r="C9" s="57">
        <f>'Data '!C9</f>
        <v>400</v>
      </c>
      <c r="D9" s="57">
        <f>'Data '!D9</f>
        <v>500</v>
      </c>
      <c r="E9" s="39">
        <f>'Setoran 1'!C9</f>
        <v>0</v>
      </c>
      <c r="F9" s="19">
        <f t="shared" ref="F9:F68" si="0">E9*C9</f>
        <v>0</v>
      </c>
      <c r="G9" s="19">
        <f t="shared" ref="G9:G68" si="1">E9*D9</f>
        <v>0</v>
      </c>
      <c r="H9" s="39">
        <f>'Setoran 1'!D9</f>
        <v>0</v>
      </c>
      <c r="I9" s="19">
        <f t="shared" ref="I9:I68" si="2">H9*$C9</f>
        <v>0</v>
      </c>
      <c r="J9" s="19">
        <f t="shared" ref="J9:J68" si="3">H9*$D9</f>
        <v>0</v>
      </c>
      <c r="K9" s="39">
        <f>'Setoran 1'!E9</f>
        <v>0</v>
      </c>
      <c r="L9" s="19">
        <f t="shared" ref="L9:L68" si="4">K9*$C9</f>
        <v>0</v>
      </c>
      <c r="M9" s="19">
        <f t="shared" ref="M9:M68" si="5">K9*$D9</f>
        <v>0</v>
      </c>
      <c r="N9" s="39">
        <f>'Setoran 1'!F9</f>
        <v>0</v>
      </c>
      <c r="O9" s="19">
        <f t="shared" ref="O9:O68" si="6">N9*$C9</f>
        <v>0</v>
      </c>
      <c r="P9" s="19">
        <f t="shared" ref="P9:P68" si="7">N9*$D9</f>
        <v>0</v>
      </c>
      <c r="Q9" s="39">
        <f>'Setoran 1'!G9</f>
        <v>0</v>
      </c>
      <c r="R9" s="19">
        <f t="shared" ref="R9:R68" si="8">Q9*$C9</f>
        <v>0</v>
      </c>
      <c r="S9" s="19">
        <f t="shared" ref="S9:S68" si="9">Q9*$D9</f>
        <v>0</v>
      </c>
      <c r="T9" s="39">
        <f>'Setoran 1'!H9</f>
        <v>0</v>
      </c>
      <c r="U9" s="19">
        <f t="shared" ref="U9:U68" si="10">T9*$C9</f>
        <v>0</v>
      </c>
      <c r="V9" s="19">
        <f t="shared" ref="V9:V68" si="11">T9*$D9</f>
        <v>0</v>
      </c>
      <c r="W9" s="39">
        <f>'Setoran 1'!I9</f>
        <v>0</v>
      </c>
      <c r="X9" s="19">
        <f t="shared" ref="X9:X68" si="12">W9*$C9</f>
        <v>0</v>
      </c>
      <c r="Y9" s="19">
        <f t="shared" ref="Y9:Y68" si="13">W9*$D9</f>
        <v>0</v>
      </c>
      <c r="Z9" s="39">
        <f>'Setoran 1'!J9</f>
        <v>0</v>
      </c>
      <c r="AA9" s="19">
        <f t="shared" ref="AA9:AA68" si="14">Z9*$C9</f>
        <v>0</v>
      </c>
      <c r="AB9" s="19">
        <f t="shared" ref="AB9:AB68" si="15">Z9*$D9</f>
        <v>0</v>
      </c>
      <c r="AC9" s="39">
        <f>'Setoran 1'!K9</f>
        <v>0</v>
      </c>
      <c r="AD9" s="19">
        <f t="shared" ref="AD9:AD68" si="16">AC9*$C9</f>
        <v>0</v>
      </c>
      <c r="AE9" s="19">
        <f t="shared" ref="AE9:AE68" si="17">AC9*$D9</f>
        <v>0</v>
      </c>
      <c r="AF9" s="38">
        <f>'Setoran 1'!L9</f>
        <v>0</v>
      </c>
      <c r="AG9" s="19">
        <f t="shared" ref="AG9:AG33" si="18">AF9*$C9</f>
        <v>0</v>
      </c>
      <c r="AH9" s="19">
        <f t="shared" ref="AH9:AH33" si="19">AF9*$D9</f>
        <v>0</v>
      </c>
      <c r="AI9" s="38">
        <f>'Setoran 1'!M9</f>
        <v>0</v>
      </c>
      <c r="AJ9" s="19">
        <f t="shared" ref="AJ9:AJ33" si="20">AI9*$C9</f>
        <v>0</v>
      </c>
      <c r="AK9" s="19">
        <f t="shared" ref="AK9:AK33" si="21">AI9*$D9</f>
        <v>0</v>
      </c>
      <c r="AL9" s="38">
        <f>'Setoran 1'!N9</f>
        <v>0</v>
      </c>
      <c r="AM9" s="19">
        <f t="shared" ref="AM9:AM33" si="22">AL9*$C9</f>
        <v>0</v>
      </c>
      <c r="AN9" s="19">
        <f t="shared" ref="AN9:AN33" si="23">AL9*$D9</f>
        <v>0</v>
      </c>
      <c r="AO9" s="38">
        <f>'Setoran 1'!O9</f>
        <v>0</v>
      </c>
      <c r="AP9" s="19">
        <f t="shared" ref="AP9:AP33" si="24">AO9*$C9</f>
        <v>0</v>
      </c>
      <c r="AQ9" s="19">
        <f t="shared" ref="AQ9:AQ33" si="25">AO9*$D9</f>
        <v>0</v>
      </c>
      <c r="AR9" s="38">
        <f>'Setoran 1'!P9</f>
        <v>0</v>
      </c>
      <c r="AS9" s="19">
        <f t="shared" ref="AS9:AS33" si="26">AR9*$C9</f>
        <v>0</v>
      </c>
      <c r="AT9" s="19">
        <f t="shared" ref="AT9:AT33" si="27">AR9*$D9</f>
        <v>0</v>
      </c>
      <c r="AU9" s="38">
        <f>'Setoran 1'!Q9</f>
        <v>0</v>
      </c>
      <c r="AV9" s="19">
        <f t="shared" ref="AV9:AV33" si="28">AU9*$C9</f>
        <v>0</v>
      </c>
      <c r="AW9" s="19">
        <f t="shared" ref="AW9:AW33" si="29">AU9*$D9</f>
        <v>0</v>
      </c>
      <c r="AX9" s="39">
        <f t="shared" ref="AX9:AX33" si="30">SUM(E9,H9,K9,N9,Q9,T9,W9,Z9,AC9,AF9,AI9,AL9,AO9,AR9,AU9)</f>
        <v>0</v>
      </c>
      <c r="AY9" s="38">
        <f t="shared" ref="AY9:AY33" si="31">SUM(F9,I9,L9,O9,R9,U9,X9,AA9,AD9,,AG9,AJ9,AM9,AP9,AS9,AV9)</f>
        <v>0</v>
      </c>
      <c r="AZ9" s="21">
        <f t="shared" ref="AZ9:AZ33" si="32">SUM(G9,J9,M9,P9,S9,V9,Y9,AB9,AE9,AH9,AK9,AN9,AQ9,AT9,AW9)</f>
        <v>0</v>
      </c>
      <c r="BA9" s="22">
        <f t="shared" ref="BA9:BA33" si="33">AZ9-AY9</f>
        <v>0</v>
      </c>
    </row>
    <row r="10" spans="1:53" ht="14.5" customHeight="1" x14ac:dyDescent="0.2">
      <c r="A10" s="23">
        <v>3</v>
      </c>
      <c r="B10" s="53" t="s">
        <v>73</v>
      </c>
      <c r="C10" s="57">
        <f>'Data '!C10</f>
        <v>300</v>
      </c>
      <c r="D10" s="57">
        <f>'Data '!D10</f>
        <v>400</v>
      </c>
      <c r="E10" s="39">
        <f>'Setoran 1'!C10</f>
        <v>0</v>
      </c>
      <c r="F10" s="19">
        <f t="shared" si="0"/>
        <v>0</v>
      </c>
      <c r="G10" s="19">
        <f t="shared" si="1"/>
        <v>0</v>
      </c>
      <c r="H10" s="39">
        <f>'Setoran 1'!D10</f>
        <v>0</v>
      </c>
      <c r="I10" s="19">
        <f t="shared" si="2"/>
        <v>0</v>
      </c>
      <c r="J10" s="19">
        <f t="shared" si="3"/>
        <v>0</v>
      </c>
      <c r="K10" s="39">
        <f>'Setoran 1'!E10</f>
        <v>0</v>
      </c>
      <c r="L10" s="19">
        <f t="shared" si="4"/>
        <v>0</v>
      </c>
      <c r="M10" s="19">
        <f t="shared" si="5"/>
        <v>0</v>
      </c>
      <c r="N10" s="39">
        <f>'Setoran 1'!F10</f>
        <v>0</v>
      </c>
      <c r="O10" s="19">
        <f t="shared" si="6"/>
        <v>0</v>
      </c>
      <c r="P10" s="19">
        <f t="shared" si="7"/>
        <v>0</v>
      </c>
      <c r="Q10" s="39">
        <f>'Setoran 1'!G10</f>
        <v>0</v>
      </c>
      <c r="R10" s="19">
        <f t="shared" si="8"/>
        <v>0</v>
      </c>
      <c r="S10" s="19">
        <f t="shared" si="9"/>
        <v>0</v>
      </c>
      <c r="T10" s="39">
        <f>'Setoran 1'!H10</f>
        <v>0</v>
      </c>
      <c r="U10" s="19">
        <f t="shared" si="10"/>
        <v>0</v>
      </c>
      <c r="V10" s="19">
        <f t="shared" si="11"/>
        <v>0</v>
      </c>
      <c r="W10" s="39">
        <f>'Setoran 1'!I10</f>
        <v>0</v>
      </c>
      <c r="X10" s="19">
        <f t="shared" si="12"/>
        <v>0</v>
      </c>
      <c r="Y10" s="19">
        <f t="shared" si="13"/>
        <v>0</v>
      </c>
      <c r="Z10" s="39">
        <f>'Setoran 1'!J10</f>
        <v>0</v>
      </c>
      <c r="AA10" s="19">
        <f t="shared" si="14"/>
        <v>0</v>
      </c>
      <c r="AB10" s="19">
        <f t="shared" si="15"/>
        <v>0</v>
      </c>
      <c r="AC10" s="39">
        <f>'Setoran 1'!K10</f>
        <v>0</v>
      </c>
      <c r="AD10" s="19">
        <f t="shared" si="16"/>
        <v>0</v>
      </c>
      <c r="AE10" s="19">
        <f t="shared" si="17"/>
        <v>0</v>
      </c>
      <c r="AF10" s="38">
        <f>'Setoran 1'!L10</f>
        <v>0</v>
      </c>
      <c r="AG10" s="19">
        <f t="shared" si="18"/>
        <v>0</v>
      </c>
      <c r="AH10" s="19">
        <f t="shared" si="19"/>
        <v>0</v>
      </c>
      <c r="AI10" s="38">
        <f>'Setoran 1'!M10</f>
        <v>0</v>
      </c>
      <c r="AJ10" s="19">
        <f t="shared" si="20"/>
        <v>0</v>
      </c>
      <c r="AK10" s="19">
        <f t="shared" si="21"/>
        <v>0</v>
      </c>
      <c r="AL10" s="38">
        <f>'Setoran 1'!N10</f>
        <v>0</v>
      </c>
      <c r="AM10" s="19">
        <f t="shared" si="22"/>
        <v>0</v>
      </c>
      <c r="AN10" s="19">
        <f t="shared" si="23"/>
        <v>0</v>
      </c>
      <c r="AO10" s="38">
        <f>'Setoran 1'!O10</f>
        <v>0</v>
      </c>
      <c r="AP10" s="19">
        <f t="shared" si="24"/>
        <v>0</v>
      </c>
      <c r="AQ10" s="19">
        <f t="shared" si="25"/>
        <v>0</v>
      </c>
      <c r="AR10" s="38">
        <f>'Setoran 1'!P10</f>
        <v>0</v>
      </c>
      <c r="AS10" s="19">
        <f t="shared" si="26"/>
        <v>0</v>
      </c>
      <c r="AT10" s="19">
        <f t="shared" si="27"/>
        <v>0</v>
      </c>
      <c r="AU10" s="38">
        <f>'Setoran 1'!Q10</f>
        <v>0</v>
      </c>
      <c r="AV10" s="19">
        <f t="shared" si="28"/>
        <v>0</v>
      </c>
      <c r="AW10" s="19">
        <f t="shared" si="29"/>
        <v>0</v>
      </c>
      <c r="AX10" s="39">
        <f t="shared" si="30"/>
        <v>0</v>
      </c>
      <c r="AY10" s="38">
        <f t="shared" si="31"/>
        <v>0</v>
      </c>
      <c r="AZ10" s="21">
        <f t="shared" si="32"/>
        <v>0</v>
      </c>
      <c r="BA10" s="22">
        <f t="shared" si="33"/>
        <v>0</v>
      </c>
    </row>
    <row r="11" spans="1:53" ht="14.5" customHeight="1" x14ac:dyDescent="0.2">
      <c r="A11" s="23">
        <v>4</v>
      </c>
      <c r="B11" s="53" t="s">
        <v>6</v>
      </c>
      <c r="C11" s="57">
        <f>'Data '!C11</f>
        <v>2800</v>
      </c>
      <c r="D11" s="57">
        <f>'Data '!D11</f>
        <v>3000</v>
      </c>
      <c r="E11" s="39">
        <f>'Setoran 1'!C11</f>
        <v>0</v>
      </c>
      <c r="F11" s="19">
        <f t="shared" si="0"/>
        <v>0</v>
      </c>
      <c r="G11" s="19">
        <f t="shared" si="1"/>
        <v>0</v>
      </c>
      <c r="H11" s="39">
        <f>'Setoran 1'!D11</f>
        <v>0</v>
      </c>
      <c r="I11" s="19">
        <f t="shared" si="2"/>
        <v>0</v>
      </c>
      <c r="J11" s="19">
        <f t="shared" si="3"/>
        <v>0</v>
      </c>
      <c r="K11" s="39">
        <f>'Setoran 1'!E11</f>
        <v>0</v>
      </c>
      <c r="L11" s="19">
        <f t="shared" si="4"/>
        <v>0</v>
      </c>
      <c r="M11" s="19">
        <f t="shared" si="5"/>
        <v>0</v>
      </c>
      <c r="N11" s="39">
        <f>'Setoran 1'!F11</f>
        <v>0</v>
      </c>
      <c r="O11" s="19">
        <f t="shared" si="6"/>
        <v>0</v>
      </c>
      <c r="P11" s="19">
        <f t="shared" si="7"/>
        <v>0</v>
      </c>
      <c r="Q11" s="39">
        <f>'Setoran 1'!G11</f>
        <v>0</v>
      </c>
      <c r="R11" s="19">
        <f t="shared" si="8"/>
        <v>0</v>
      </c>
      <c r="S11" s="19">
        <f t="shared" si="9"/>
        <v>0</v>
      </c>
      <c r="T11" s="39">
        <f>'Setoran 1'!H11</f>
        <v>0</v>
      </c>
      <c r="U11" s="19">
        <f t="shared" si="10"/>
        <v>0</v>
      </c>
      <c r="V11" s="19">
        <f t="shared" si="11"/>
        <v>0</v>
      </c>
      <c r="W11" s="39">
        <f>'Setoran 1'!I11</f>
        <v>0</v>
      </c>
      <c r="X11" s="19">
        <f t="shared" si="12"/>
        <v>0</v>
      </c>
      <c r="Y11" s="19">
        <f t="shared" si="13"/>
        <v>0</v>
      </c>
      <c r="Z11" s="39">
        <f>'Setoran 1'!J11</f>
        <v>0</v>
      </c>
      <c r="AA11" s="19">
        <f t="shared" si="14"/>
        <v>0</v>
      </c>
      <c r="AB11" s="19">
        <f t="shared" si="15"/>
        <v>0</v>
      </c>
      <c r="AC11" s="39">
        <f>'Setoran 1'!K11</f>
        <v>0</v>
      </c>
      <c r="AD11" s="19">
        <f t="shared" si="16"/>
        <v>0</v>
      </c>
      <c r="AE11" s="19">
        <f t="shared" si="17"/>
        <v>0</v>
      </c>
      <c r="AF11" s="38">
        <f>'Setoran 1'!L11</f>
        <v>0</v>
      </c>
      <c r="AG11" s="19">
        <f t="shared" si="18"/>
        <v>0</v>
      </c>
      <c r="AH11" s="19">
        <f t="shared" si="19"/>
        <v>0</v>
      </c>
      <c r="AI11" s="38">
        <f>'Setoran 1'!M11</f>
        <v>0</v>
      </c>
      <c r="AJ11" s="19">
        <f t="shared" si="20"/>
        <v>0</v>
      </c>
      <c r="AK11" s="19">
        <f t="shared" si="21"/>
        <v>0</v>
      </c>
      <c r="AL11" s="38">
        <f>'Setoran 1'!N11</f>
        <v>0</v>
      </c>
      <c r="AM11" s="19">
        <f t="shared" si="22"/>
        <v>0</v>
      </c>
      <c r="AN11" s="19">
        <f t="shared" si="23"/>
        <v>0</v>
      </c>
      <c r="AO11" s="38">
        <f>'Setoran 1'!O11</f>
        <v>0</v>
      </c>
      <c r="AP11" s="19">
        <f t="shared" si="24"/>
        <v>0</v>
      </c>
      <c r="AQ11" s="19">
        <f t="shared" si="25"/>
        <v>0</v>
      </c>
      <c r="AR11" s="38">
        <f>'Setoran 1'!P11</f>
        <v>0</v>
      </c>
      <c r="AS11" s="19">
        <f t="shared" si="26"/>
        <v>0</v>
      </c>
      <c r="AT11" s="19">
        <f t="shared" si="27"/>
        <v>0</v>
      </c>
      <c r="AU11" s="38">
        <f>'Setoran 1'!Q11</f>
        <v>0</v>
      </c>
      <c r="AV11" s="19">
        <f t="shared" si="28"/>
        <v>0</v>
      </c>
      <c r="AW11" s="19">
        <f t="shared" si="29"/>
        <v>0</v>
      </c>
      <c r="AX11" s="39">
        <f t="shared" si="30"/>
        <v>0</v>
      </c>
      <c r="AY11" s="38">
        <f t="shared" si="31"/>
        <v>0</v>
      </c>
      <c r="AZ11" s="21">
        <f t="shared" si="32"/>
        <v>0</v>
      </c>
      <c r="BA11" s="22">
        <f t="shared" si="33"/>
        <v>0</v>
      </c>
    </row>
    <row r="12" spans="1:53" ht="14.5" customHeight="1" x14ac:dyDescent="0.2">
      <c r="A12" s="23">
        <v>5</v>
      </c>
      <c r="B12" s="53" t="s">
        <v>7</v>
      </c>
      <c r="C12" s="57">
        <f>'Data '!C12</f>
        <v>2400</v>
      </c>
      <c r="D12" s="57">
        <f>'Data '!D12</f>
        <v>2500</v>
      </c>
      <c r="E12" s="39">
        <f>'Setoran 1'!C12</f>
        <v>0</v>
      </c>
      <c r="F12" s="19">
        <f t="shared" si="0"/>
        <v>0</v>
      </c>
      <c r="G12" s="19">
        <f t="shared" si="1"/>
        <v>0</v>
      </c>
      <c r="H12" s="39">
        <f>'Setoran 1'!D12</f>
        <v>0</v>
      </c>
      <c r="I12" s="19">
        <f t="shared" si="2"/>
        <v>0</v>
      </c>
      <c r="J12" s="19">
        <f t="shared" si="3"/>
        <v>0</v>
      </c>
      <c r="K12" s="39">
        <f>'Setoran 1'!E12</f>
        <v>0</v>
      </c>
      <c r="L12" s="19">
        <f t="shared" si="4"/>
        <v>0</v>
      </c>
      <c r="M12" s="19">
        <f t="shared" si="5"/>
        <v>0</v>
      </c>
      <c r="N12" s="39">
        <f>'Setoran 1'!F12</f>
        <v>0</v>
      </c>
      <c r="O12" s="19">
        <f t="shared" si="6"/>
        <v>0</v>
      </c>
      <c r="P12" s="19">
        <f t="shared" si="7"/>
        <v>0</v>
      </c>
      <c r="Q12" s="39">
        <f>'Setoran 1'!G12</f>
        <v>0</v>
      </c>
      <c r="R12" s="19">
        <f t="shared" si="8"/>
        <v>0</v>
      </c>
      <c r="S12" s="19">
        <f t="shared" si="9"/>
        <v>0</v>
      </c>
      <c r="T12" s="39">
        <f>'Setoran 1'!H12</f>
        <v>0</v>
      </c>
      <c r="U12" s="19">
        <f t="shared" si="10"/>
        <v>0</v>
      </c>
      <c r="V12" s="19">
        <f t="shared" si="11"/>
        <v>0</v>
      </c>
      <c r="W12" s="39">
        <f>'Setoran 1'!I12</f>
        <v>0</v>
      </c>
      <c r="X12" s="19">
        <f t="shared" si="12"/>
        <v>0</v>
      </c>
      <c r="Y12" s="19">
        <f t="shared" si="13"/>
        <v>0</v>
      </c>
      <c r="Z12" s="39">
        <f>'Setoran 1'!J12</f>
        <v>0</v>
      </c>
      <c r="AA12" s="19">
        <f t="shared" si="14"/>
        <v>0</v>
      </c>
      <c r="AB12" s="19">
        <f t="shared" si="15"/>
        <v>0</v>
      </c>
      <c r="AC12" s="39">
        <f>'Setoran 1'!K12</f>
        <v>13.64</v>
      </c>
      <c r="AD12" s="19">
        <f t="shared" si="16"/>
        <v>32736</v>
      </c>
      <c r="AE12" s="19">
        <f t="shared" si="17"/>
        <v>34100</v>
      </c>
      <c r="AF12" s="38">
        <f>'Setoran 1'!L12</f>
        <v>0</v>
      </c>
      <c r="AG12" s="19">
        <f t="shared" si="18"/>
        <v>0</v>
      </c>
      <c r="AH12" s="19">
        <f t="shared" si="19"/>
        <v>0</v>
      </c>
      <c r="AI12" s="38">
        <f>'Setoran 1'!M12</f>
        <v>0</v>
      </c>
      <c r="AJ12" s="19">
        <f t="shared" si="20"/>
        <v>0</v>
      </c>
      <c r="AK12" s="19">
        <f t="shared" si="21"/>
        <v>0</v>
      </c>
      <c r="AL12" s="38">
        <f>'Setoran 1'!N12</f>
        <v>0</v>
      </c>
      <c r="AM12" s="19">
        <f t="shared" si="22"/>
        <v>0</v>
      </c>
      <c r="AN12" s="19">
        <f t="shared" si="23"/>
        <v>0</v>
      </c>
      <c r="AO12" s="38">
        <f>'Setoran 1'!O12</f>
        <v>0</v>
      </c>
      <c r="AP12" s="19">
        <f t="shared" si="24"/>
        <v>0</v>
      </c>
      <c r="AQ12" s="19">
        <f t="shared" si="25"/>
        <v>0</v>
      </c>
      <c r="AR12" s="38">
        <f>'Setoran 1'!P12</f>
        <v>0</v>
      </c>
      <c r="AS12" s="19">
        <f t="shared" si="26"/>
        <v>0</v>
      </c>
      <c r="AT12" s="19">
        <f t="shared" si="27"/>
        <v>0</v>
      </c>
      <c r="AU12" s="38">
        <f>'Setoran 1'!Q12</f>
        <v>0</v>
      </c>
      <c r="AV12" s="19">
        <f t="shared" si="28"/>
        <v>0</v>
      </c>
      <c r="AW12" s="19">
        <f t="shared" si="29"/>
        <v>0</v>
      </c>
      <c r="AX12" s="39">
        <f t="shared" si="30"/>
        <v>13.64</v>
      </c>
      <c r="AY12" s="38">
        <f t="shared" si="31"/>
        <v>32736</v>
      </c>
      <c r="AZ12" s="21">
        <f t="shared" si="32"/>
        <v>34100</v>
      </c>
      <c r="BA12" s="22">
        <f t="shared" si="33"/>
        <v>1364</v>
      </c>
    </row>
    <row r="13" spans="1:53" ht="14.5" customHeight="1" x14ac:dyDescent="0.2">
      <c r="A13" s="23">
        <v>6</v>
      </c>
      <c r="B13" s="53" t="s">
        <v>8</v>
      </c>
      <c r="C13" s="57">
        <f>'Data '!C13</f>
        <v>700</v>
      </c>
      <c r="D13" s="57">
        <f>'Data '!D13</f>
        <v>800</v>
      </c>
      <c r="E13" s="39">
        <f>'Setoran 1'!C13</f>
        <v>0</v>
      </c>
      <c r="F13" s="19">
        <f t="shared" si="0"/>
        <v>0</v>
      </c>
      <c r="G13" s="19">
        <f t="shared" si="1"/>
        <v>0</v>
      </c>
      <c r="H13" s="39">
        <f>'Setoran 1'!D13</f>
        <v>0</v>
      </c>
      <c r="I13" s="19">
        <f t="shared" si="2"/>
        <v>0</v>
      </c>
      <c r="J13" s="19">
        <f t="shared" si="3"/>
        <v>0</v>
      </c>
      <c r="K13" s="39">
        <f>'Setoran 1'!E13</f>
        <v>0</v>
      </c>
      <c r="L13" s="19">
        <f t="shared" si="4"/>
        <v>0</v>
      </c>
      <c r="M13" s="19">
        <f t="shared" si="5"/>
        <v>0</v>
      </c>
      <c r="N13" s="39">
        <f>'Setoran 1'!F13</f>
        <v>0</v>
      </c>
      <c r="O13" s="19">
        <f t="shared" si="6"/>
        <v>0</v>
      </c>
      <c r="P13" s="19">
        <f t="shared" si="7"/>
        <v>0</v>
      </c>
      <c r="Q13" s="39">
        <f>'Setoran 1'!G13</f>
        <v>0</v>
      </c>
      <c r="R13" s="19">
        <f t="shared" si="8"/>
        <v>0</v>
      </c>
      <c r="S13" s="19">
        <f t="shared" si="9"/>
        <v>0</v>
      </c>
      <c r="T13" s="39">
        <f>'Setoran 1'!H13</f>
        <v>0</v>
      </c>
      <c r="U13" s="19">
        <f t="shared" si="10"/>
        <v>0</v>
      </c>
      <c r="V13" s="19">
        <f t="shared" si="11"/>
        <v>0</v>
      </c>
      <c r="W13" s="39">
        <f>'Setoran 1'!I13</f>
        <v>0</v>
      </c>
      <c r="X13" s="19">
        <f t="shared" si="12"/>
        <v>0</v>
      </c>
      <c r="Y13" s="19">
        <f t="shared" si="13"/>
        <v>0</v>
      </c>
      <c r="Z13" s="39">
        <f>'Setoran 1'!J13</f>
        <v>0</v>
      </c>
      <c r="AA13" s="19">
        <f t="shared" si="14"/>
        <v>0</v>
      </c>
      <c r="AB13" s="19">
        <f t="shared" si="15"/>
        <v>0</v>
      </c>
      <c r="AC13" s="39">
        <f>'Setoran 1'!K13</f>
        <v>0</v>
      </c>
      <c r="AD13" s="19">
        <f t="shared" si="16"/>
        <v>0</v>
      </c>
      <c r="AE13" s="19">
        <f t="shared" si="17"/>
        <v>0</v>
      </c>
      <c r="AF13" s="38">
        <f>'Setoran 1'!L13</f>
        <v>0</v>
      </c>
      <c r="AG13" s="19">
        <f t="shared" si="18"/>
        <v>0</v>
      </c>
      <c r="AH13" s="19">
        <f t="shared" si="19"/>
        <v>0</v>
      </c>
      <c r="AI13" s="38">
        <f>'Setoran 1'!M13</f>
        <v>0</v>
      </c>
      <c r="AJ13" s="19">
        <f t="shared" si="20"/>
        <v>0</v>
      </c>
      <c r="AK13" s="19">
        <f t="shared" si="21"/>
        <v>0</v>
      </c>
      <c r="AL13" s="38">
        <f>'Setoran 1'!N13</f>
        <v>0</v>
      </c>
      <c r="AM13" s="19">
        <f t="shared" si="22"/>
        <v>0</v>
      </c>
      <c r="AN13" s="19">
        <f t="shared" si="23"/>
        <v>0</v>
      </c>
      <c r="AO13" s="38">
        <f>'Setoran 1'!O13</f>
        <v>0</v>
      </c>
      <c r="AP13" s="19">
        <f t="shared" si="24"/>
        <v>0</v>
      </c>
      <c r="AQ13" s="19">
        <f t="shared" si="25"/>
        <v>0</v>
      </c>
      <c r="AR13" s="38">
        <f>'Setoran 1'!P13</f>
        <v>0</v>
      </c>
      <c r="AS13" s="19">
        <f t="shared" si="26"/>
        <v>0</v>
      </c>
      <c r="AT13" s="19">
        <f t="shared" si="27"/>
        <v>0</v>
      </c>
      <c r="AU13" s="38">
        <f>'Setoran 1'!Q13</f>
        <v>0</v>
      </c>
      <c r="AV13" s="19">
        <f t="shared" si="28"/>
        <v>0</v>
      </c>
      <c r="AW13" s="19">
        <f t="shared" si="29"/>
        <v>0</v>
      </c>
      <c r="AX13" s="39">
        <f t="shared" si="30"/>
        <v>0</v>
      </c>
      <c r="AY13" s="38">
        <f t="shared" si="31"/>
        <v>0</v>
      </c>
      <c r="AZ13" s="21">
        <f t="shared" si="32"/>
        <v>0</v>
      </c>
      <c r="BA13" s="22">
        <f t="shared" si="33"/>
        <v>0</v>
      </c>
    </row>
    <row r="14" spans="1:53" ht="14.5" customHeight="1" x14ac:dyDescent="0.2">
      <c r="A14" s="23">
        <v>7</v>
      </c>
      <c r="B14" s="53" t="s">
        <v>9</v>
      </c>
      <c r="C14" s="57">
        <f>'Data '!C14</f>
        <v>1600</v>
      </c>
      <c r="D14" s="57">
        <f>'Data '!D14</f>
        <v>1700</v>
      </c>
      <c r="E14" s="39">
        <f>'Setoran 1'!C14</f>
        <v>0</v>
      </c>
      <c r="F14" s="19">
        <f t="shared" ref="F14" si="34">E14*C14</f>
        <v>0</v>
      </c>
      <c r="G14" s="19">
        <f t="shared" ref="G14" si="35">E14*D14</f>
        <v>0</v>
      </c>
      <c r="H14" s="39">
        <f>'Setoran 1'!D14</f>
        <v>0</v>
      </c>
      <c r="I14" s="19">
        <f t="shared" ref="I14" si="36">H14*$C14</f>
        <v>0</v>
      </c>
      <c r="J14" s="19">
        <f t="shared" ref="J14" si="37">H14*$D14</f>
        <v>0</v>
      </c>
      <c r="K14" s="39">
        <f>'Setoran 1'!E14</f>
        <v>0</v>
      </c>
      <c r="L14" s="19">
        <f t="shared" ref="L14" si="38">K14*$C14</f>
        <v>0</v>
      </c>
      <c r="M14" s="19">
        <f t="shared" ref="M14" si="39">K14*$D14</f>
        <v>0</v>
      </c>
      <c r="N14" s="39">
        <f>'Setoran 1'!F14</f>
        <v>0.5</v>
      </c>
      <c r="O14" s="19">
        <f t="shared" ref="O14" si="40">N14*$C14</f>
        <v>800</v>
      </c>
      <c r="P14" s="19">
        <f t="shared" ref="P14" si="41">N14*$D14</f>
        <v>850</v>
      </c>
      <c r="Q14" s="39">
        <f>'Setoran 1'!G14</f>
        <v>1.23</v>
      </c>
      <c r="R14" s="19">
        <f t="shared" ref="R14" si="42">Q14*$C14</f>
        <v>1968</v>
      </c>
      <c r="S14" s="19">
        <f t="shared" ref="S14" si="43">Q14*$D14</f>
        <v>2091</v>
      </c>
      <c r="T14" s="39">
        <f>'Setoran 1'!H14</f>
        <v>0</v>
      </c>
      <c r="U14" s="19">
        <f t="shared" ref="U14" si="44">T14*$C14</f>
        <v>0</v>
      </c>
      <c r="V14" s="19">
        <f t="shared" ref="V14" si="45">T14*$D14</f>
        <v>0</v>
      </c>
      <c r="W14" s="39">
        <f>'Setoran 1'!I14</f>
        <v>0.7</v>
      </c>
      <c r="X14" s="19">
        <f t="shared" ref="X14" si="46">W14*$C14</f>
        <v>1120</v>
      </c>
      <c r="Y14" s="19">
        <f t="shared" ref="Y14" si="47">W14*$D14</f>
        <v>1190</v>
      </c>
      <c r="Z14" s="39">
        <f>'Setoran 1'!J14</f>
        <v>0</v>
      </c>
      <c r="AA14" s="19">
        <f t="shared" ref="AA14" si="48">Z14*$C14</f>
        <v>0</v>
      </c>
      <c r="AB14" s="19">
        <f t="shared" ref="AB14" si="49">Z14*$D14</f>
        <v>0</v>
      </c>
      <c r="AC14" s="39">
        <f>'Setoran 1'!K14</f>
        <v>2.14</v>
      </c>
      <c r="AD14" s="19">
        <f t="shared" ref="AD14" si="50">AC14*$C14</f>
        <v>3424</v>
      </c>
      <c r="AE14" s="19">
        <f t="shared" ref="AE14" si="51">AC14*$D14</f>
        <v>3638</v>
      </c>
      <c r="AF14" s="38">
        <f>'Setoran 1'!L14</f>
        <v>2.4</v>
      </c>
      <c r="AG14" s="19">
        <f t="shared" ref="AG14" si="52">AF14*$C14</f>
        <v>3840</v>
      </c>
      <c r="AH14" s="19">
        <f t="shared" ref="AH14" si="53">AF14*$D14</f>
        <v>4080</v>
      </c>
      <c r="AI14" s="38">
        <f>'Setoran 1'!M14</f>
        <v>0</v>
      </c>
      <c r="AJ14" s="19">
        <f t="shared" ref="AJ14" si="54">AI14*$C14</f>
        <v>0</v>
      </c>
      <c r="AK14" s="19">
        <f t="shared" ref="AK14" si="55">AI14*$D14</f>
        <v>0</v>
      </c>
      <c r="AL14" s="38">
        <f>'Setoran 1'!N14</f>
        <v>0</v>
      </c>
      <c r="AM14" s="19">
        <f t="shared" ref="AM14" si="56">AL14*$C14</f>
        <v>0</v>
      </c>
      <c r="AN14" s="19">
        <f t="shared" ref="AN14" si="57">AL14*$D14</f>
        <v>0</v>
      </c>
      <c r="AO14" s="38">
        <f>'Setoran 1'!O14</f>
        <v>0</v>
      </c>
      <c r="AP14" s="19">
        <f t="shared" ref="AP14" si="58">AO14*$C14</f>
        <v>0</v>
      </c>
      <c r="AQ14" s="19">
        <f t="shared" ref="AQ14" si="59">AO14*$D14</f>
        <v>0</v>
      </c>
      <c r="AR14" s="38">
        <f>'Setoran 1'!P14</f>
        <v>0</v>
      </c>
      <c r="AS14" s="19">
        <f t="shared" ref="AS14" si="60">AR14*$C14</f>
        <v>0</v>
      </c>
      <c r="AT14" s="19">
        <f t="shared" ref="AT14" si="61">AR14*$D14</f>
        <v>0</v>
      </c>
      <c r="AU14" s="38">
        <f>'Setoran 1'!Q14</f>
        <v>0</v>
      </c>
      <c r="AV14" s="19">
        <f t="shared" ref="AV14" si="62">AU14*$C14</f>
        <v>0</v>
      </c>
      <c r="AW14" s="19">
        <f t="shared" ref="AW14" si="63">AU14*$D14</f>
        <v>0</v>
      </c>
      <c r="AX14" s="39">
        <f t="shared" ref="AX14" si="64">SUM(E14,H14,K14,N14,Q14,T14,W14,Z14,AC14,AF14,AI14,AL14,AO14,AR14,AU14)</f>
        <v>6.9700000000000006</v>
      </c>
      <c r="AY14" s="38">
        <f t="shared" ref="AY14" si="65">SUM(F14,I14,L14,O14,R14,U14,X14,AA14,AD14,,AG14,AJ14,AM14,AP14,AS14,AV14)</f>
        <v>11152</v>
      </c>
      <c r="AZ14" s="21">
        <f t="shared" ref="AZ14" si="66">SUM(G14,J14,M14,P14,S14,V14,Y14,AB14,AE14,AH14,AK14,AN14,AQ14,AT14,AW14)</f>
        <v>11849</v>
      </c>
      <c r="BA14" s="22">
        <f t="shared" ref="BA14" si="67">AZ14-AY14</f>
        <v>697</v>
      </c>
    </row>
    <row r="15" spans="1:53" ht="14.5" customHeight="1" x14ac:dyDescent="0.2">
      <c r="A15" s="78" t="s">
        <v>74</v>
      </c>
      <c r="B15" s="78"/>
      <c r="C15" s="59"/>
      <c r="D15" s="59"/>
      <c r="E15" s="39"/>
      <c r="F15" s="19"/>
      <c r="G15" s="19"/>
      <c r="H15" s="39"/>
      <c r="I15" s="19"/>
      <c r="J15" s="19"/>
      <c r="K15" s="39"/>
      <c r="L15" s="19"/>
      <c r="M15" s="19"/>
      <c r="N15" s="39"/>
      <c r="O15" s="19"/>
      <c r="P15" s="19"/>
      <c r="Q15" s="39"/>
      <c r="R15" s="19"/>
      <c r="S15" s="19"/>
      <c r="T15" s="39"/>
      <c r="U15" s="19"/>
      <c r="V15" s="19"/>
      <c r="W15" s="39"/>
      <c r="X15" s="19"/>
      <c r="Y15" s="19"/>
      <c r="Z15" s="39"/>
      <c r="AA15" s="19"/>
      <c r="AB15" s="19"/>
      <c r="AC15" s="39"/>
      <c r="AD15" s="19"/>
      <c r="AE15" s="19"/>
      <c r="AF15" s="38"/>
      <c r="AG15" s="19"/>
      <c r="AH15" s="19"/>
      <c r="AI15" s="38"/>
      <c r="AJ15" s="19"/>
      <c r="AK15" s="19"/>
      <c r="AL15" s="38"/>
      <c r="AM15" s="19"/>
      <c r="AN15" s="19"/>
      <c r="AO15" s="38"/>
      <c r="AP15" s="19"/>
      <c r="AQ15" s="19"/>
      <c r="AR15" s="38"/>
      <c r="AS15" s="19"/>
      <c r="AT15" s="19"/>
      <c r="AU15" s="38"/>
      <c r="AV15" s="19"/>
      <c r="AW15" s="19"/>
      <c r="AX15" s="39"/>
      <c r="AY15" s="38"/>
      <c r="AZ15" s="21"/>
      <c r="BA15" s="22"/>
    </row>
    <row r="16" spans="1:53" ht="14.5" customHeight="1" x14ac:dyDescent="0.2">
      <c r="A16" s="54">
        <v>1</v>
      </c>
      <c r="B16" s="53" t="s">
        <v>10</v>
      </c>
      <c r="C16" s="57">
        <f>'Data '!C15</f>
        <v>1800</v>
      </c>
      <c r="D16" s="57">
        <f>'Data '!D15</f>
        <v>2000</v>
      </c>
      <c r="E16" s="39">
        <f>'Setoran 1'!C16</f>
        <v>0</v>
      </c>
      <c r="F16" s="19">
        <f t="shared" si="0"/>
        <v>0</v>
      </c>
      <c r="G16" s="19">
        <f t="shared" si="1"/>
        <v>0</v>
      </c>
      <c r="H16" s="39">
        <f>'Setoran 1'!D16</f>
        <v>1.6</v>
      </c>
      <c r="I16" s="19">
        <f t="shared" si="2"/>
        <v>2880</v>
      </c>
      <c r="J16" s="19">
        <f t="shared" si="3"/>
        <v>3200</v>
      </c>
      <c r="K16" s="39">
        <f>'Setoran 1'!E16</f>
        <v>0</v>
      </c>
      <c r="L16" s="19">
        <f t="shared" si="4"/>
        <v>0</v>
      </c>
      <c r="M16" s="19">
        <f t="shared" si="5"/>
        <v>0</v>
      </c>
      <c r="N16" s="39">
        <f>'Setoran 1'!F16</f>
        <v>1.1000000000000001</v>
      </c>
      <c r="O16" s="19">
        <f t="shared" si="6"/>
        <v>1980.0000000000002</v>
      </c>
      <c r="P16" s="19">
        <f t="shared" si="7"/>
        <v>2200</v>
      </c>
      <c r="Q16" s="39">
        <f>'Setoran 1'!G16</f>
        <v>2.25</v>
      </c>
      <c r="R16" s="19">
        <f t="shared" si="8"/>
        <v>4050</v>
      </c>
      <c r="S16" s="19">
        <f t="shared" si="9"/>
        <v>4500</v>
      </c>
      <c r="T16" s="39">
        <f>'Setoran 1'!H16</f>
        <v>0</v>
      </c>
      <c r="U16" s="19">
        <f t="shared" si="10"/>
        <v>0</v>
      </c>
      <c r="V16" s="19">
        <f t="shared" si="11"/>
        <v>0</v>
      </c>
      <c r="W16" s="39">
        <f>'Setoran 1'!I16</f>
        <v>1.5</v>
      </c>
      <c r="X16" s="19">
        <f t="shared" si="12"/>
        <v>2700</v>
      </c>
      <c r="Y16" s="19">
        <f t="shared" si="13"/>
        <v>3000</v>
      </c>
      <c r="Z16" s="39">
        <f>'Setoran 1'!J16</f>
        <v>7.0000000000000007E-2</v>
      </c>
      <c r="AA16" s="19">
        <f t="shared" si="14"/>
        <v>126.00000000000001</v>
      </c>
      <c r="AB16" s="19">
        <f t="shared" si="15"/>
        <v>140</v>
      </c>
      <c r="AC16" s="39">
        <f>'Setoran 1'!K16</f>
        <v>2.14</v>
      </c>
      <c r="AD16" s="19">
        <f t="shared" si="16"/>
        <v>3852</v>
      </c>
      <c r="AE16" s="19">
        <f t="shared" si="17"/>
        <v>4280</v>
      </c>
      <c r="AF16" s="38">
        <f>'Setoran 1'!L16</f>
        <v>0.22</v>
      </c>
      <c r="AG16" s="19">
        <f t="shared" si="18"/>
        <v>396</v>
      </c>
      <c r="AH16" s="19">
        <f t="shared" si="19"/>
        <v>440</v>
      </c>
      <c r="AI16" s="38">
        <f>'Setoran 1'!M16</f>
        <v>0</v>
      </c>
      <c r="AJ16" s="19">
        <f t="shared" si="20"/>
        <v>0</v>
      </c>
      <c r="AK16" s="19">
        <f t="shared" si="21"/>
        <v>0</v>
      </c>
      <c r="AL16" s="38">
        <f>'Setoran 1'!N16</f>
        <v>0</v>
      </c>
      <c r="AM16" s="19">
        <f t="shared" si="22"/>
        <v>0</v>
      </c>
      <c r="AN16" s="19">
        <f t="shared" si="23"/>
        <v>0</v>
      </c>
      <c r="AO16" s="38">
        <f>'Setoran 1'!O16</f>
        <v>0</v>
      </c>
      <c r="AP16" s="19">
        <f t="shared" si="24"/>
        <v>0</v>
      </c>
      <c r="AQ16" s="19">
        <f t="shared" si="25"/>
        <v>0</v>
      </c>
      <c r="AR16" s="38">
        <f>'Setoran 1'!P16</f>
        <v>0</v>
      </c>
      <c r="AS16" s="19">
        <f t="shared" si="26"/>
        <v>0</v>
      </c>
      <c r="AT16" s="19">
        <f t="shared" si="27"/>
        <v>0</v>
      </c>
      <c r="AU16" s="38">
        <f>'Setoran 1'!Q16</f>
        <v>0</v>
      </c>
      <c r="AV16" s="19">
        <f t="shared" si="28"/>
        <v>0</v>
      </c>
      <c r="AW16" s="19">
        <f t="shared" si="29"/>
        <v>0</v>
      </c>
      <c r="AX16" s="39">
        <f t="shared" si="30"/>
        <v>8.8800000000000008</v>
      </c>
      <c r="AY16" s="38">
        <f t="shared" si="31"/>
        <v>15984</v>
      </c>
      <c r="AZ16" s="21">
        <f t="shared" si="32"/>
        <v>17760</v>
      </c>
      <c r="BA16" s="22">
        <f t="shared" si="33"/>
        <v>1776</v>
      </c>
    </row>
    <row r="17" spans="1:53" ht="14.5" customHeight="1" x14ac:dyDescent="0.2">
      <c r="A17" s="54">
        <v>2</v>
      </c>
      <c r="B17" s="53" t="s">
        <v>75</v>
      </c>
      <c r="C17" s="57">
        <f>'Data '!C16</f>
        <v>2400</v>
      </c>
      <c r="D17" s="57">
        <f>'Data '!D16</f>
        <v>2500</v>
      </c>
      <c r="E17" s="39">
        <f>'Setoran 1'!C17</f>
        <v>0</v>
      </c>
      <c r="F17" s="19">
        <f t="shared" si="0"/>
        <v>0</v>
      </c>
      <c r="G17" s="19">
        <f t="shared" si="1"/>
        <v>0</v>
      </c>
      <c r="H17" s="39">
        <f>'Setoran 1'!D17</f>
        <v>0</v>
      </c>
      <c r="I17" s="19">
        <f t="shared" si="2"/>
        <v>0</v>
      </c>
      <c r="J17" s="19">
        <f t="shared" si="3"/>
        <v>0</v>
      </c>
      <c r="K17" s="39">
        <f>'Setoran 1'!E17</f>
        <v>0</v>
      </c>
      <c r="L17" s="19">
        <f t="shared" si="4"/>
        <v>0</v>
      </c>
      <c r="M17" s="19">
        <f t="shared" si="5"/>
        <v>0</v>
      </c>
      <c r="N17" s="39">
        <f>'Setoran 1'!F17</f>
        <v>0</v>
      </c>
      <c r="O17" s="19">
        <f t="shared" si="6"/>
        <v>0</v>
      </c>
      <c r="P17" s="19">
        <f t="shared" si="7"/>
        <v>0</v>
      </c>
      <c r="Q17" s="39">
        <f>'Setoran 1'!G17</f>
        <v>0</v>
      </c>
      <c r="R17" s="19">
        <f t="shared" si="8"/>
        <v>0</v>
      </c>
      <c r="S17" s="19">
        <f t="shared" si="9"/>
        <v>0</v>
      </c>
      <c r="T17" s="39">
        <f>'Setoran 1'!H17</f>
        <v>0</v>
      </c>
      <c r="U17" s="19">
        <f t="shared" si="10"/>
        <v>0</v>
      </c>
      <c r="V17" s="19">
        <f t="shared" si="11"/>
        <v>0</v>
      </c>
      <c r="W17" s="39">
        <f>'Setoran 1'!I17</f>
        <v>0</v>
      </c>
      <c r="X17" s="19">
        <f t="shared" si="12"/>
        <v>0</v>
      </c>
      <c r="Y17" s="19">
        <f t="shared" si="13"/>
        <v>0</v>
      </c>
      <c r="Z17" s="39">
        <f>'Setoran 1'!J17</f>
        <v>0</v>
      </c>
      <c r="AA17" s="19">
        <f t="shared" si="14"/>
        <v>0</v>
      </c>
      <c r="AB17" s="19">
        <f t="shared" si="15"/>
        <v>0</v>
      </c>
      <c r="AC17" s="39">
        <f>'Setoran 1'!K17</f>
        <v>0</v>
      </c>
      <c r="AD17" s="19">
        <f t="shared" si="16"/>
        <v>0</v>
      </c>
      <c r="AE17" s="19">
        <f t="shared" si="17"/>
        <v>0</v>
      </c>
      <c r="AF17" s="38">
        <f>'Setoran 1'!L17</f>
        <v>0.24</v>
      </c>
      <c r="AG17" s="19">
        <f t="shared" si="18"/>
        <v>576</v>
      </c>
      <c r="AH17" s="19">
        <f t="shared" si="19"/>
        <v>600</v>
      </c>
      <c r="AI17" s="38">
        <f>'Setoran 1'!M17</f>
        <v>0</v>
      </c>
      <c r="AJ17" s="19">
        <f t="shared" si="20"/>
        <v>0</v>
      </c>
      <c r="AK17" s="19">
        <f t="shared" si="21"/>
        <v>0</v>
      </c>
      <c r="AL17" s="38">
        <f>'Setoran 1'!N17</f>
        <v>0</v>
      </c>
      <c r="AM17" s="19">
        <f t="shared" si="22"/>
        <v>0</v>
      </c>
      <c r="AN17" s="19">
        <f t="shared" si="23"/>
        <v>0</v>
      </c>
      <c r="AO17" s="38">
        <f>'Setoran 1'!O17</f>
        <v>0</v>
      </c>
      <c r="AP17" s="19">
        <f t="shared" si="24"/>
        <v>0</v>
      </c>
      <c r="AQ17" s="19">
        <f t="shared" si="25"/>
        <v>0</v>
      </c>
      <c r="AR17" s="38">
        <f>'Setoran 1'!P17</f>
        <v>0</v>
      </c>
      <c r="AS17" s="19">
        <f t="shared" si="26"/>
        <v>0</v>
      </c>
      <c r="AT17" s="19">
        <f t="shared" si="27"/>
        <v>0</v>
      </c>
      <c r="AU17" s="38">
        <f>'Setoran 1'!Q17</f>
        <v>0</v>
      </c>
      <c r="AV17" s="19">
        <f t="shared" si="28"/>
        <v>0</v>
      </c>
      <c r="AW17" s="19">
        <f t="shared" si="29"/>
        <v>0</v>
      </c>
      <c r="AX17" s="39">
        <f t="shared" si="30"/>
        <v>0.24</v>
      </c>
      <c r="AY17" s="38">
        <f t="shared" si="31"/>
        <v>576</v>
      </c>
      <c r="AZ17" s="21">
        <f t="shared" si="32"/>
        <v>600</v>
      </c>
      <c r="BA17" s="22">
        <f t="shared" si="33"/>
        <v>24</v>
      </c>
    </row>
    <row r="18" spans="1:53" ht="14.5" customHeight="1" x14ac:dyDescent="0.2">
      <c r="A18" s="54">
        <v>3</v>
      </c>
      <c r="B18" s="61" t="s">
        <v>76</v>
      </c>
      <c r="C18" s="57">
        <f>'Data '!C17</f>
        <v>1900</v>
      </c>
      <c r="D18" s="57">
        <f>'Data '!D17</f>
        <v>2000</v>
      </c>
      <c r="E18" s="39">
        <f>'Setoran 1'!C18</f>
        <v>0</v>
      </c>
      <c r="F18" s="19">
        <f t="shared" si="0"/>
        <v>0</v>
      </c>
      <c r="G18" s="19">
        <f t="shared" si="1"/>
        <v>0</v>
      </c>
      <c r="H18" s="39">
        <f>'Setoran 1'!D18</f>
        <v>0</v>
      </c>
      <c r="I18" s="19">
        <f t="shared" si="2"/>
        <v>0</v>
      </c>
      <c r="J18" s="19">
        <f t="shared" si="3"/>
        <v>0</v>
      </c>
      <c r="K18" s="39">
        <f>'Setoran 1'!E18</f>
        <v>0</v>
      </c>
      <c r="L18" s="19">
        <f t="shared" si="4"/>
        <v>0</v>
      </c>
      <c r="M18" s="19">
        <f t="shared" si="5"/>
        <v>0</v>
      </c>
      <c r="N18" s="39">
        <f>'Setoran 1'!F18</f>
        <v>0</v>
      </c>
      <c r="O18" s="19">
        <f t="shared" si="6"/>
        <v>0</v>
      </c>
      <c r="P18" s="19">
        <f t="shared" si="7"/>
        <v>0</v>
      </c>
      <c r="Q18" s="39">
        <f>'Setoran 1'!G18</f>
        <v>0</v>
      </c>
      <c r="R18" s="19">
        <f t="shared" si="8"/>
        <v>0</v>
      </c>
      <c r="S18" s="19">
        <f t="shared" si="9"/>
        <v>0</v>
      </c>
      <c r="T18" s="39">
        <f>'Setoran 1'!H18</f>
        <v>0</v>
      </c>
      <c r="U18" s="19">
        <f t="shared" si="10"/>
        <v>0</v>
      </c>
      <c r="V18" s="19">
        <f t="shared" si="11"/>
        <v>0</v>
      </c>
      <c r="W18" s="39">
        <f>'Setoran 1'!I18</f>
        <v>0</v>
      </c>
      <c r="X18" s="19">
        <f t="shared" si="12"/>
        <v>0</v>
      </c>
      <c r="Y18" s="19">
        <f t="shared" si="13"/>
        <v>0</v>
      </c>
      <c r="Z18" s="39">
        <f>'Setoran 1'!J18</f>
        <v>0</v>
      </c>
      <c r="AA18" s="19">
        <f t="shared" si="14"/>
        <v>0</v>
      </c>
      <c r="AB18" s="19">
        <f t="shared" si="15"/>
        <v>0</v>
      </c>
      <c r="AC18" s="39">
        <f>'Setoran 1'!K18</f>
        <v>0</v>
      </c>
      <c r="AD18" s="19">
        <f t="shared" si="16"/>
        <v>0</v>
      </c>
      <c r="AE18" s="19">
        <f t="shared" si="17"/>
        <v>0</v>
      </c>
      <c r="AF18" s="38">
        <f>'Setoran 1'!L18</f>
        <v>0</v>
      </c>
      <c r="AG18" s="19">
        <f t="shared" si="18"/>
        <v>0</v>
      </c>
      <c r="AH18" s="19">
        <f t="shared" si="19"/>
        <v>0</v>
      </c>
      <c r="AI18" s="38">
        <f>'Setoran 1'!M18</f>
        <v>0</v>
      </c>
      <c r="AJ18" s="19">
        <f t="shared" si="20"/>
        <v>0</v>
      </c>
      <c r="AK18" s="19">
        <f t="shared" si="21"/>
        <v>0</v>
      </c>
      <c r="AL18" s="38">
        <f>'Setoran 1'!N18</f>
        <v>0</v>
      </c>
      <c r="AM18" s="19">
        <f t="shared" si="22"/>
        <v>0</v>
      </c>
      <c r="AN18" s="19">
        <f t="shared" si="23"/>
        <v>0</v>
      </c>
      <c r="AO18" s="38">
        <f>'Setoran 1'!O18</f>
        <v>0</v>
      </c>
      <c r="AP18" s="19">
        <f t="shared" si="24"/>
        <v>0</v>
      </c>
      <c r="AQ18" s="19">
        <f t="shared" si="25"/>
        <v>0</v>
      </c>
      <c r="AR18" s="38">
        <f>'Setoran 1'!P18</f>
        <v>0</v>
      </c>
      <c r="AS18" s="19">
        <f t="shared" si="26"/>
        <v>0</v>
      </c>
      <c r="AT18" s="19">
        <f t="shared" si="27"/>
        <v>0</v>
      </c>
      <c r="AU18" s="38">
        <f>'Setoran 1'!Q18</f>
        <v>0</v>
      </c>
      <c r="AV18" s="19">
        <f t="shared" si="28"/>
        <v>0</v>
      </c>
      <c r="AW18" s="19">
        <f t="shared" si="29"/>
        <v>0</v>
      </c>
      <c r="AX18" s="39">
        <f t="shared" si="30"/>
        <v>0</v>
      </c>
      <c r="AY18" s="38">
        <f t="shared" si="31"/>
        <v>0</v>
      </c>
      <c r="AZ18" s="21">
        <f t="shared" si="32"/>
        <v>0</v>
      </c>
      <c r="BA18" s="22">
        <f t="shared" si="33"/>
        <v>0</v>
      </c>
    </row>
    <row r="19" spans="1:53" ht="14.5" customHeight="1" x14ac:dyDescent="0.2">
      <c r="A19" s="54">
        <v>4</v>
      </c>
      <c r="B19" s="53" t="s">
        <v>11</v>
      </c>
      <c r="C19" s="57">
        <f>'Data '!C18</f>
        <v>1800</v>
      </c>
      <c r="D19" s="57">
        <f>'Data '!D18</f>
        <v>2000</v>
      </c>
      <c r="E19" s="39">
        <f>'Setoran 1'!C19</f>
        <v>0</v>
      </c>
      <c r="F19" s="19">
        <f t="shared" si="0"/>
        <v>0</v>
      </c>
      <c r="G19" s="19">
        <f t="shared" si="1"/>
        <v>0</v>
      </c>
      <c r="H19" s="39">
        <f>'Setoran 1'!D19</f>
        <v>0.3</v>
      </c>
      <c r="I19" s="19">
        <f t="shared" si="2"/>
        <v>540</v>
      </c>
      <c r="J19" s="19">
        <f t="shared" si="3"/>
        <v>600</v>
      </c>
      <c r="K19" s="39">
        <f>'Setoran 1'!E19</f>
        <v>0</v>
      </c>
      <c r="L19" s="19">
        <f t="shared" si="4"/>
        <v>0</v>
      </c>
      <c r="M19" s="19">
        <f t="shared" si="5"/>
        <v>0</v>
      </c>
      <c r="N19" s="39">
        <f>'Setoran 1'!F19</f>
        <v>0.05</v>
      </c>
      <c r="O19" s="19">
        <f t="shared" si="6"/>
        <v>90</v>
      </c>
      <c r="P19" s="19">
        <f t="shared" si="7"/>
        <v>100</v>
      </c>
      <c r="Q19" s="39">
        <f>'Setoran 1'!G19</f>
        <v>0.19</v>
      </c>
      <c r="R19" s="19">
        <f t="shared" si="8"/>
        <v>342</v>
      </c>
      <c r="S19" s="19">
        <f t="shared" si="9"/>
        <v>380</v>
      </c>
      <c r="T19" s="39">
        <f>'Setoran 1'!H19</f>
        <v>0</v>
      </c>
      <c r="U19" s="19">
        <f t="shared" si="10"/>
        <v>0</v>
      </c>
      <c r="V19" s="19">
        <f t="shared" si="11"/>
        <v>0</v>
      </c>
      <c r="W19" s="39">
        <f>'Setoran 1'!I19</f>
        <v>0.14000000000000001</v>
      </c>
      <c r="X19" s="19">
        <f t="shared" si="12"/>
        <v>252.00000000000003</v>
      </c>
      <c r="Y19" s="19">
        <f t="shared" si="13"/>
        <v>280</v>
      </c>
      <c r="Z19" s="39">
        <f>'Setoran 1'!J19</f>
        <v>0</v>
      </c>
      <c r="AA19" s="19">
        <f t="shared" si="14"/>
        <v>0</v>
      </c>
      <c r="AB19" s="19">
        <f t="shared" si="15"/>
        <v>0</v>
      </c>
      <c r="AC19" s="39">
        <f>'Setoran 1'!K19</f>
        <v>0</v>
      </c>
      <c r="AD19" s="19">
        <f t="shared" si="16"/>
        <v>0</v>
      </c>
      <c r="AE19" s="19">
        <f t="shared" si="17"/>
        <v>0</v>
      </c>
      <c r="AF19" s="38">
        <f>'Setoran 1'!L19</f>
        <v>0</v>
      </c>
      <c r="AG19" s="19">
        <f t="shared" si="18"/>
        <v>0</v>
      </c>
      <c r="AH19" s="19">
        <f t="shared" si="19"/>
        <v>0</v>
      </c>
      <c r="AI19" s="38">
        <f>'Setoran 1'!M19</f>
        <v>0</v>
      </c>
      <c r="AJ19" s="19">
        <f t="shared" si="20"/>
        <v>0</v>
      </c>
      <c r="AK19" s="19">
        <f t="shared" si="21"/>
        <v>0</v>
      </c>
      <c r="AL19" s="38">
        <f>'Setoran 1'!N19</f>
        <v>0</v>
      </c>
      <c r="AM19" s="19">
        <f t="shared" si="22"/>
        <v>0</v>
      </c>
      <c r="AN19" s="19">
        <f t="shared" si="23"/>
        <v>0</v>
      </c>
      <c r="AO19" s="38">
        <f>'Setoran 1'!O19</f>
        <v>0</v>
      </c>
      <c r="AP19" s="19">
        <f t="shared" si="24"/>
        <v>0</v>
      </c>
      <c r="AQ19" s="19">
        <f t="shared" si="25"/>
        <v>0</v>
      </c>
      <c r="AR19" s="38">
        <f>'Setoran 1'!P19</f>
        <v>0</v>
      </c>
      <c r="AS19" s="19">
        <f t="shared" si="26"/>
        <v>0</v>
      </c>
      <c r="AT19" s="19">
        <f t="shared" si="27"/>
        <v>0</v>
      </c>
      <c r="AU19" s="38">
        <f>'Setoran 1'!Q19</f>
        <v>0</v>
      </c>
      <c r="AV19" s="19">
        <f t="shared" si="28"/>
        <v>0</v>
      </c>
      <c r="AW19" s="19">
        <f t="shared" si="29"/>
        <v>0</v>
      </c>
      <c r="AX19" s="39">
        <f t="shared" si="30"/>
        <v>0.68</v>
      </c>
      <c r="AY19" s="38">
        <f t="shared" si="31"/>
        <v>1224</v>
      </c>
      <c r="AZ19" s="21">
        <f t="shared" si="32"/>
        <v>1360</v>
      </c>
      <c r="BA19" s="22">
        <f t="shared" si="33"/>
        <v>136</v>
      </c>
    </row>
    <row r="20" spans="1:53" ht="14.5" customHeight="1" x14ac:dyDescent="0.2">
      <c r="A20" s="54">
        <v>5</v>
      </c>
      <c r="B20" s="53" t="s">
        <v>12</v>
      </c>
      <c r="C20" s="57">
        <f>'Data '!C19</f>
        <v>1700</v>
      </c>
      <c r="D20" s="57">
        <f>'Data '!D19</f>
        <v>1800</v>
      </c>
      <c r="E20" s="39">
        <f>'Setoran 1'!C20</f>
        <v>0</v>
      </c>
      <c r="F20" s="19">
        <f t="shared" si="0"/>
        <v>0</v>
      </c>
      <c r="G20" s="19">
        <f t="shared" si="1"/>
        <v>0</v>
      </c>
      <c r="H20" s="39">
        <f>'Setoran 1'!D20</f>
        <v>0</v>
      </c>
      <c r="I20" s="19">
        <f t="shared" si="2"/>
        <v>0</v>
      </c>
      <c r="J20" s="19">
        <f t="shared" si="3"/>
        <v>0</v>
      </c>
      <c r="K20" s="39">
        <f>'Setoran 1'!E20</f>
        <v>0</v>
      </c>
      <c r="L20" s="19">
        <f t="shared" si="4"/>
        <v>0</v>
      </c>
      <c r="M20" s="19">
        <f t="shared" si="5"/>
        <v>0</v>
      </c>
      <c r="N20" s="39">
        <f>'Setoran 1'!F20</f>
        <v>0.09</v>
      </c>
      <c r="O20" s="19">
        <f t="shared" si="6"/>
        <v>153</v>
      </c>
      <c r="P20" s="19">
        <f t="shared" si="7"/>
        <v>162</v>
      </c>
      <c r="Q20" s="39">
        <f>'Setoran 1'!G20</f>
        <v>0</v>
      </c>
      <c r="R20" s="19">
        <f t="shared" si="8"/>
        <v>0</v>
      </c>
      <c r="S20" s="19">
        <f t="shared" si="9"/>
        <v>0</v>
      </c>
      <c r="T20" s="39">
        <f>'Setoran 1'!H20</f>
        <v>0</v>
      </c>
      <c r="U20" s="19">
        <f t="shared" si="10"/>
        <v>0</v>
      </c>
      <c r="V20" s="19">
        <f t="shared" si="11"/>
        <v>0</v>
      </c>
      <c r="W20" s="39">
        <f>'Setoran 1'!I20</f>
        <v>0.1</v>
      </c>
      <c r="X20" s="19">
        <f t="shared" si="12"/>
        <v>170</v>
      </c>
      <c r="Y20" s="19">
        <f t="shared" si="13"/>
        <v>180</v>
      </c>
      <c r="Z20" s="39">
        <f>'Setoran 1'!J20</f>
        <v>0</v>
      </c>
      <c r="AA20" s="19">
        <f t="shared" si="14"/>
        <v>0</v>
      </c>
      <c r="AB20" s="19">
        <f t="shared" si="15"/>
        <v>0</v>
      </c>
      <c r="AC20" s="39">
        <f>'Setoran 1'!K20</f>
        <v>1.36</v>
      </c>
      <c r="AD20" s="19">
        <f t="shared" si="16"/>
        <v>2312</v>
      </c>
      <c r="AE20" s="19">
        <f t="shared" si="17"/>
        <v>2448</v>
      </c>
      <c r="AF20" s="38">
        <f>'Setoran 1'!L20</f>
        <v>0.27</v>
      </c>
      <c r="AG20" s="19">
        <f t="shared" si="18"/>
        <v>459.00000000000006</v>
      </c>
      <c r="AH20" s="19">
        <f t="shared" si="19"/>
        <v>486.00000000000006</v>
      </c>
      <c r="AI20" s="38">
        <f>'Setoran 1'!M20</f>
        <v>0</v>
      </c>
      <c r="AJ20" s="19">
        <f t="shared" si="20"/>
        <v>0</v>
      </c>
      <c r="AK20" s="19">
        <f t="shared" si="21"/>
        <v>0</v>
      </c>
      <c r="AL20" s="38">
        <f>'Setoran 1'!N20</f>
        <v>0</v>
      </c>
      <c r="AM20" s="19">
        <f t="shared" si="22"/>
        <v>0</v>
      </c>
      <c r="AN20" s="19">
        <f t="shared" si="23"/>
        <v>0</v>
      </c>
      <c r="AO20" s="38">
        <f>'Setoran 1'!O20</f>
        <v>0</v>
      </c>
      <c r="AP20" s="19">
        <f t="shared" si="24"/>
        <v>0</v>
      </c>
      <c r="AQ20" s="19">
        <f t="shared" si="25"/>
        <v>0</v>
      </c>
      <c r="AR20" s="38">
        <f>'Setoran 1'!P20</f>
        <v>0</v>
      </c>
      <c r="AS20" s="19">
        <f t="shared" si="26"/>
        <v>0</v>
      </c>
      <c r="AT20" s="19">
        <f t="shared" si="27"/>
        <v>0</v>
      </c>
      <c r="AU20" s="38">
        <f>'Setoran 1'!Q20</f>
        <v>0</v>
      </c>
      <c r="AV20" s="19">
        <f t="shared" si="28"/>
        <v>0</v>
      </c>
      <c r="AW20" s="19">
        <f t="shared" si="29"/>
        <v>0</v>
      </c>
      <c r="AX20" s="39">
        <f t="shared" si="30"/>
        <v>1.82</v>
      </c>
      <c r="AY20" s="38">
        <f t="shared" si="31"/>
        <v>3094</v>
      </c>
      <c r="AZ20" s="21">
        <f t="shared" si="32"/>
        <v>3276</v>
      </c>
      <c r="BA20" s="22">
        <f t="shared" si="33"/>
        <v>182</v>
      </c>
    </row>
    <row r="21" spans="1:53" ht="14.5" customHeight="1" x14ac:dyDescent="0.2">
      <c r="A21" s="54">
        <v>6</v>
      </c>
      <c r="B21" s="53" t="s">
        <v>13</v>
      </c>
      <c r="C21" s="57">
        <f>'Data '!C20</f>
        <v>0</v>
      </c>
      <c r="D21" s="57">
        <f>'Data '!D20</f>
        <v>0</v>
      </c>
      <c r="E21" s="39">
        <f>'Setoran 1'!C21</f>
        <v>0</v>
      </c>
      <c r="F21" s="19">
        <f t="shared" si="0"/>
        <v>0</v>
      </c>
      <c r="G21" s="19">
        <f t="shared" si="1"/>
        <v>0</v>
      </c>
      <c r="H21" s="39">
        <f>'Setoran 1'!D21</f>
        <v>0</v>
      </c>
      <c r="I21" s="19">
        <f t="shared" si="2"/>
        <v>0</v>
      </c>
      <c r="J21" s="19">
        <f t="shared" si="3"/>
        <v>0</v>
      </c>
      <c r="K21" s="39">
        <f>'Setoran 1'!E21</f>
        <v>0</v>
      </c>
      <c r="L21" s="19">
        <f t="shared" si="4"/>
        <v>0</v>
      </c>
      <c r="M21" s="19">
        <f t="shared" si="5"/>
        <v>0</v>
      </c>
      <c r="N21" s="39">
        <f>'Setoran 1'!F21</f>
        <v>0</v>
      </c>
      <c r="O21" s="19">
        <f t="shared" si="6"/>
        <v>0</v>
      </c>
      <c r="P21" s="19">
        <f t="shared" si="7"/>
        <v>0</v>
      </c>
      <c r="Q21" s="39">
        <f>'Setoran 1'!G21</f>
        <v>0</v>
      </c>
      <c r="R21" s="19">
        <f t="shared" si="8"/>
        <v>0</v>
      </c>
      <c r="S21" s="19">
        <f t="shared" si="9"/>
        <v>0</v>
      </c>
      <c r="T21" s="39">
        <f>'Setoran 1'!H21</f>
        <v>0</v>
      </c>
      <c r="U21" s="19">
        <f t="shared" si="10"/>
        <v>0</v>
      </c>
      <c r="V21" s="19">
        <f t="shared" si="11"/>
        <v>0</v>
      </c>
      <c r="W21" s="39">
        <f>'Setoran 1'!I21</f>
        <v>0</v>
      </c>
      <c r="X21" s="19">
        <f t="shared" si="12"/>
        <v>0</v>
      </c>
      <c r="Y21" s="19">
        <f t="shared" si="13"/>
        <v>0</v>
      </c>
      <c r="Z21" s="39">
        <f>'Setoran 1'!J21</f>
        <v>0</v>
      </c>
      <c r="AA21" s="19">
        <f t="shared" si="14"/>
        <v>0</v>
      </c>
      <c r="AB21" s="19">
        <f t="shared" si="15"/>
        <v>0</v>
      </c>
      <c r="AC21" s="39">
        <f>'Setoran 1'!K21</f>
        <v>0</v>
      </c>
      <c r="AD21" s="19">
        <f t="shared" si="16"/>
        <v>0</v>
      </c>
      <c r="AE21" s="19">
        <f t="shared" si="17"/>
        <v>0</v>
      </c>
      <c r="AF21" s="38">
        <f>'Setoran 1'!L21</f>
        <v>0</v>
      </c>
      <c r="AG21" s="19">
        <f t="shared" si="18"/>
        <v>0</v>
      </c>
      <c r="AH21" s="19">
        <f t="shared" si="19"/>
        <v>0</v>
      </c>
      <c r="AI21" s="38">
        <f>'Setoran 1'!M21</f>
        <v>0</v>
      </c>
      <c r="AJ21" s="19">
        <f t="shared" si="20"/>
        <v>0</v>
      </c>
      <c r="AK21" s="19">
        <f t="shared" si="21"/>
        <v>0</v>
      </c>
      <c r="AL21" s="38">
        <f>'Setoran 1'!N21</f>
        <v>0</v>
      </c>
      <c r="AM21" s="19">
        <f t="shared" si="22"/>
        <v>0</v>
      </c>
      <c r="AN21" s="19">
        <f t="shared" si="23"/>
        <v>0</v>
      </c>
      <c r="AO21" s="38">
        <f>'Setoran 1'!O21</f>
        <v>0</v>
      </c>
      <c r="AP21" s="19">
        <f t="shared" si="24"/>
        <v>0</v>
      </c>
      <c r="AQ21" s="19">
        <f t="shared" si="25"/>
        <v>0</v>
      </c>
      <c r="AR21" s="38">
        <f>'Setoran 1'!P21</f>
        <v>0</v>
      </c>
      <c r="AS21" s="19">
        <f t="shared" si="26"/>
        <v>0</v>
      </c>
      <c r="AT21" s="19">
        <f t="shared" si="27"/>
        <v>0</v>
      </c>
      <c r="AU21" s="38">
        <f>'Setoran 1'!Q21</f>
        <v>0</v>
      </c>
      <c r="AV21" s="19">
        <f t="shared" si="28"/>
        <v>0</v>
      </c>
      <c r="AW21" s="19">
        <f t="shared" si="29"/>
        <v>0</v>
      </c>
      <c r="AX21" s="39">
        <f t="shared" si="30"/>
        <v>0</v>
      </c>
      <c r="AY21" s="38">
        <f t="shared" si="31"/>
        <v>0</v>
      </c>
      <c r="AZ21" s="21">
        <f t="shared" si="32"/>
        <v>0</v>
      </c>
      <c r="BA21" s="22">
        <f t="shared" si="33"/>
        <v>0</v>
      </c>
    </row>
    <row r="22" spans="1:53" ht="14.5" customHeight="1" x14ac:dyDescent="0.2">
      <c r="A22" s="54">
        <v>7</v>
      </c>
      <c r="B22" s="53" t="s">
        <v>14</v>
      </c>
      <c r="C22" s="57">
        <f>'Data '!C21</f>
        <v>900</v>
      </c>
      <c r="D22" s="57">
        <f>'Data '!D21</f>
        <v>1000</v>
      </c>
      <c r="E22" s="39">
        <f>'Setoran 1'!C22</f>
        <v>0</v>
      </c>
      <c r="F22" s="19">
        <f t="shared" si="0"/>
        <v>0</v>
      </c>
      <c r="G22" s="19">
        <f t="shared" si="1"/>
        <v>0</v>
      </c>
      <c r="H22" s="39">
        <f>'Setoran 1'!D22</f>
        <v>0</v>
      </c>
      <c r="I22" s="19">
        <f t="shared" si="2"/>
        <v>0</v>
      </c>
      <c r="J22" s="19">
        <f t="shared" si="3"/>
        <v>0</v>
      </c>
      <c r="K22" s="39">
        <f>'Setoran 1'!E22</f>
        <v>0</v>
      </c>
      <c r="L22" s="19">
        <f t="shared" si="4"/>
        <v>0</v>
      </c>
      <c r="M22" s="19">
        <f t="shared" si="5"/>
        <v>0</v>
      </c>
      <c r="N22" s="39">
        <f>'Setoran 1'!F22</f>
        <v>0</v>
      </c>
      <c r="O22" s="19">
        <f t="shared" si="6"/>
        <v>0</v>
      </c>
      <c r="P22" s="19">
        <f t="shared" si="7"/>
        <v>0</v>
      </c>
      <c r="Q22" s="39">
        <f>'Setoran 1'!G22</f>
        <v>0</v>
      </c>
      <c r="R22" s="19">
        <f t="shared" si="8"/>
        <v>0</v>
      </c>
      <c r="S22" s="19">
        <f t="shared" si="9"/>
        <v>0</v>
      </c>
      <c r="T22" s="39">
        <f>'Setoran 1'!H22</f>
        <v>3.84</v>
      </c>
      <c r="U22" s="19">
        <f t="shared" si="10"/>
        <v>3456</v>
      </c>
      <c r="V22" s="19">
        <f t="shared" si="11"/>
        <v>3840</v>
      </c>
      <c r="W22" s="39">
        <f>'Setoran 1'!I22</f>
        <v>0</v>
      </c>
      <c r="X22" s="19">
        <f t="shared" si="12"/>
        <v>0</v>
      </c>
      <c r="Y22" s="19">
        <f t="shared" si="13"/>
        <v>0</v>
      </c>
      <c r="Z22" s="39">
        <f>'Setoran 1'!J22</f>
        <v>0</v>
      </c>
      <c r="AA22" s="19">
        <f t="shared" si="14"/>
        <v>0</v>
      </c>
      <c r="AB22" s="19">
        <f t="shared" si="15"/>
        <v>0</v>
      </c>
      <c r="AC22" s="39">
        <f>'Setoran 1'!K22</f>
        <v>0</v>
      </c>
      <c r="AD22" s="19">
        <f t="shared" si="16"/>
        <v>0</v>
      </c>
      <c r="AE22" s="19">
        <f t="shared" si="17"/>
        <v>0</v>
      </c>
      <c r="AF22" s="38">
        <f>'Setoran 1'!L22</f>
        <v>0</v>
      </c>
      <c r="AG22" s="19">
        <f t="shared" si="18"/>
        <v>0</v>
      </c>
      <c r="AH22" s="19">
        <f t="shared" si="19"/>
        <v>0</v>
      </c>
      <c r="AI22" s="38">
        <f>'Setoran 1'!M22</f>
        <v>0</v>
      </c>
      <c r="AJ22" s="19">
        <f t="shared" si="20"/>
        <v>0</v>
      </c>
      <c r="AK22" s="19">
        <f t="shared" si="21"/>
        <v>0</v>
      </c>
      <c r="AL22" s="38">
        <f>'Setoran 1'!N22</f>
        <v>0</v>
      </c>
      <c r="AM22" s="19">
        <f t="shared" si="22"/>
        <v>0</v>
      </c>
      <c r="AN22" s="19">
        <f t="shared" si="23"/>
        <v>0</v>
      </c>
      <c r="AO22" s="38">
        <f>'Setoran 1'!O22</f>
        <v>0</v>
      </c>
      <c r="AP22" s="19">
        <f t="shared" si="24"/>
        <v>0</v>
      </c>
      <c r="AQ22" s="19">
        <f t="shared" si="25"/>
        <v>0</v>
      </c>
      <c r="AR22" s="38">
        <f>'Setoran 1'!P22</f>
        <v>0</v>
      </c>
      <c r="AS22" s="19">
        <f t="shared" si="26"/>
        <v>0</v>
      </c>
      <c r="AT22" s="19">
        <f t="shared" si="27"/>
        <v>0</v>
      </c>
      <c r="AU22" s="38">
        <f>'Setoran 1'!Q22</f>
        <v>0</v>
      </c>
      <c r="AV22" s="19">
        <f t="shared" si="28"/>
        <v>0</v>
      </c>
      <c r="AW22" s="19">
        <f t="shared" si="29"/>
        <v>0</v>
      </c>
      <c r="AX22" s="39">
        <f t="shared" si="30"/>
        <v>3.84</v>
      </c>
      <c r="AY22" s="38">
        <f t="shared" si="31"/>
        <v>3456</v>
      </c>
      <c r="AZ22" s="21">
        <f t="shared" si="32"/>
        <v>3840</v>
      </c>
      <c r="BA22" s="22">
        <f t="shared" si="33"/>
        <v>384</v>
      </c>
    </row>
    <row r="23" spans="1:53" ht="14.5" customHeight="1" x14ac:dyDescent="0.2">
      <c r="A23" s="54">
        <v>8</v>
      </c>
      <c r="B23" s="53" t="s">
        <v>15</v>
      </c>
      <c r="C23" s="57">
        <f>'Data '!C22</f>
        <v>900</v>
      </c>
      <c r="D23" s="57">
        <f>'Data '!D22</f>
        <v>1000</v>
      </c>
      <c r="E23" s="39">
        <f>'Setoran 1'!C23</f>
        <v>0</v>
      </c>
      <c r="F23" s="19">
        <f t="shared" si="0"/>
        <v>0</v>
      </c>
      <c r="G23" s="19">
        <f t="shared" si="1"/>
        <v>0</v>
      </c>
      <c r="H23" s="39">
        <f>'Setoran 1'!D23</f>
        <v>0</v>
      </c>
      <c r="I23" s="19">
        <f t="shared" si="2"/>
        <v>0</v>
      </c>
      <c r="J23" s="19">
        <f t="shared" si="3"/>
        <v>0</v>
      </c>
      <c r="K23" s="39">
        <f>'Setoran 1'!E23</f>
        <v>0</v>
      </c>
      <c r="L23" s="19">
        <f t="shared" si="4"/>
        <v>0</v>
      </c>
      <c r="M23" s="19">
        <f t="shared" si="5"/>
        <v>0</v>
      </c>
      <c r="N23" s="39">
        <f>'Setoran 1'!F23</f>
        <v>0.17</v>
      </c>
      <c r="O23" s="19">
        <f t="shared" si="6"/>
        <v>153</v>
      </c>
      <c r="P23" s="19">
        <f t="shared" si="7"/>
        <v>170</v>
      </c>
      <c r="Q23" s="39">
        <f>'Setoran 1'!G23</f>
        <v>0</v>
      </c>
      <c r="R23" s="19">
        <f t="shared" si="8"/>
        <v>0</v>
      </c>
      <c r="S23" s="19">
        <f t="shared" si="9"/>
        <v>0</v>
      </c>
      <c r="T23" s="39">
        <f>'Setoran 1'!H23</f>
        <v>0</v>
      </c>
      <c r="U23" s="19">
        <f t="shared" si="10"/>
        <v>0</v>
      </c>
      <c r="V23" s="19">
        <f t="shared" si="11"/>
        <v>0</v>
      </c>
      <c r="W23" s="39">
        <f>'Setoran 1'!I23</f>
        <v>0.7</v>
      </c>
      <c r="X23" s="19">
        <f t="shared" si="12"/>
        <v>630</v>
      </c>
      <c r="Y23" s="19">
        <f t="shared" si="13"/>
        <v>700</v>
      </c>
      <c r="Z23" s="39">
        <f>'Setoran 1'!J23</f>
        <v>0</v>
      </c>
      <c r="AA23" s="19">
        <f t="shared" si="14"/>
        <v>0</v>
      </c>
      <c r="AB23" s="19">
        <f t="shared" si="15"/>
        <v>0</v>
      </c>
      <c r="AC23" s="39">
        <f>'Setoran 1'!K23</f>
        <v>0</v>
      </c>
      <c r="AD23" s="19">
        <f t="shared" si="16"/>
        <v>0</v>
      </c>
      <c r="AE23" s="19">
        <f t="shared" si="17"/>
        <v>0</v>
      </c>
      <c r="AF23" s="38">
        <f>'Setoran 1'!L23</f>
        <v>0</v>
      </c>
      <c r="AG23" s="19">
        <f t="shared" si="18"/>
        <v>0</v>
      </c>
      <c r="AH23" s="19">
        <f t="shared" si="19"/>
        <v>0</v>
      </c>
      <c r="AI23" s="38">
        <f>'Setoran 1'!M23</f>
        <v>0</v>
      </c>
      <c r="AJ23" s="19">
        <f t="shared" si="20"/>
        <v>0</v>
      </c>
      <c r="AK23" s="19">
        <f t="shared" si="21"/>
        <v>0</v>
      </c>
      <c r="AL23" s="38">
        <f>'Setoran 1'!N23</f>
        <v>0</v>
      </c>
      <c r="AM23" s="19">
        <f t="shared" si="22"/>
        <v>0</v>
      </c>
      <c r="AN23" s="19">
        <f t="shared" si="23"/>
        <v>0</v>
      </c>
      <c r="AO23" s="38">
        <f>'Setoran 1'!O23</f>
        <v>0</v>
      </c>
      <c r="AP23" s="19">
        <f t="shared" si="24"/>
        <v>0</v>
      </c>
      <c r="AQ23" s="19">
        <f t="shared" si="25"/>
        <v>0</v>
      </c>
      <c r="AR23" s="38">
        <f>'Setoran 1'!P23</f>
        <v>0</v>
      </c>
      <c r="AS23" s="19">
        <f t="shared" si="26"/>
        <v>0</v>
      </c>
      <c r="AT23" s="19">
        <f t="shared" si="27"/>
        <v>0</v>
      </c>
      <c r="AU23" s="38">
        <f>'Setoran 1'!Q23</f>
        <v>0</v>
      </c>
      <c r="AV23" s="19">
        <f t="shared" si="28"/>
        <v>0</v>
      </c>
      <c r="AW23" s="19">
        <f t="shared" si="29"/>
        <v>0</v>
      </c>
      <c r="AX23" s="39">
        <f t="shared" si="30"/>
        <v>0.87</v>
      </c>
      <c r="AY23" s="38">
        <f t="shared" si="31"/>
        <v>783</v>
      </c>
      <c r="AZ23" s="21">
        <f t="shared" si="32"/>
        <v>870</v>
      </c>
      <c r="BA23" s="22">
        <f t="shared" si="33"/>
        <v>87</v>
      </c>
    </row>
    <row r="24" spans="1:53" ht="14.5" customHeight="1" x14ac:dyDescent="0.2">
      <c r="A24" s="54">
        <v>9</v>
      </c>
      <c r="B24" s="53" t="s">
        <v>16</v>
      </c>
      <c r="C24" s="57">
        <f>'Data '!C23</f>
        <v>900</v>
      </c>
      <c r="D24" s="57">
        <f>'Data '!D23</f>
        <v>1000</v>
      </c>
      <c r="E24" s="39">
        <f>'Setoran 1'!C24</f>
        <v>0</v>
      </c>
      <c r="F24" s="19">
        <f t="shared" si="0"/>
        <v>0</v>
      </c>
      <c r="G24" s="19">
        <f t="shared" si="1"/>
        <v>0</v>
      </c>
      <c r="H24" s="39">
        <f>'Setoran 1'!D24</f>
        <v>0</v>
      </c>
      <c r="I24" s="19">
        <f t="shared" si="2"/>
        <v>0</v>
      </c>
      <c r="J24" s="19">
        <f t="shared" si="3"/>
        <v>0</v>
      </c>
      <c r="K24" s="39">
        <f>'Setoran 1'!E24</f>
        <v>0</v>
      </c>
      <c r="L24" s="19">
        <f t="shared" si="4"/>
        <v>0</v>
      </c>
      <c r="M24" s="19">
        <f t="shared" si="5"/>
        <v>0</v>
      </c>
      <c r="N24" s="39">
        <f>'Setoran 1'!F24</f>
        <v>0</v>
      </c>
      <c r="O24" s="19">
        <f t="shared" si="6"/>
        <v>0</v>
      </c>
      <c r="P24" s="19">
        <f t="shared" si="7"/>
        <v>0</v>
      </c>
      <c r="Q24" s="39">
        <f>'Setoran 1'!G24</f>
        <v>0</v>
      </c>
      <c r="R24" s="19">
        <f t="shared" si="8"/>
        <v>0</v>
      </c>
      <c r="S24" s="19">
        <f t="shared" si="9"/>
        <v>0</v>
      </c>
      <c r="T24" s="39">
        <f>'Setoran 1'!H24</f>
        <v>0</v>
      </c>
      <c r="U24" s="19">
        <f t="shared" si="10"/>
        <v>0</v>
      </c>
      <c r="V24" s="19">
        <f t="shared" si="11"/>
        <v>0</v>
      </c>
      <c r="W24" s="39">
        <f>'Setoran 1'!I24</f>
        <v>0</v>
      </c>
      <c r="X24" s="19">
        <f t="shared" si="12"/>
        <v>0</v>
      </c>
      <c r="Y24" s="19">
        <f t="shared" si="13"/>
        <v>0</v>
      </c>
      <c r="Z24" s="39">
        <f>'Setoran 1'!J24</f>
        <v>0</v>
      </c>
      <c r="AA24" s="19">
        <f t="shared" si="14"/>
        <v>0</v>
      </c>
      <c r="AB24" s="19">
        <f t="shared" si="15"/>
        <v>0</v>
      </c>
      <c r="AC24" s="39">
        <f>'Setoran 1'!K24</f>
        <v>0</v>
      </c>
      <c r="AD24" s="19">
        <f t="shared" si="16"/>
        <v>0</v>
      </c>
      <c r="AE24" s="19">
        <f t="shared" si="17"/>
        <v>0</v>
      </c>
      <c r="AF24" s="38">
        <f>'Setoran 1'!L24</f>
        <v>0</v>
      </c>
      <c r="AG24" s="19">
        <f t="shared" si="18"/>
        <v>0</v>
      </c>
      <c r="AH24" s="19">
        <f t="shared" si="19"/>
        <v>0</v>
      </c>
      <c r="AI24" s="38">
        <f>'Setoran 1'!M24</f>
        <v>0</v>
      </c>
      <c r="AJ24" s="19">
        <f t="shared" si="20"/>
        <v>0</v>
      </c>
      <c r="AK24" s="19">
        <f t="shared" si="21"/>
        <v>0</v>
      </c>
      <c r="AL24" s="38">
        <f>'Setoran 1'!N24</f>
        <v>0</v>
      </c>
      <c r="AM24" s="19">
        <f t="shared" si="22"/>
        <v>0</v>
      </c>
      <c r="AN24" s="19">
        <f t="shared" si="23"/>
        <v>0</v>
      </c>
      <c r="AO24" s="38">
        <f>'Setoran 1'!O24</f>
        <v>0</v>
      </c>
      <c r="AP24" s="19">
        <f t="shared" si="24"/>
        <v>0</v>
      </c>
      <c r="AQ24" s="19">
        <f t="shared" si="25"/>
        <v>0</v>
      </c>
      <c r="AR24" s="38">
        <f>'Setoran 1'!P24</f>
        <v>0</v>
      </c>
      <c r="AS24" s="19">
        <f t="shared" si="26"/>
        <v>0</v>
      </c>
      <c r="AT24" s="19">
        <f t="shared" si="27"/>
        <v>0</v>
      </c>
      <c r="AU24" s="38">
        <f>'Setoran 1'!Q24</f>
        <v>0</v>
      </c>
      <c r="AV24" s="19">
        <f t="shared" si="28"/>
        <v>0</v>
      </c>
      <c r="AW24" s="19">
        <f t="shared" si="29"/>
        <v>0</v>
      </c>
      <c r="AX24" s="39">
        <f t="shared" si="30"/>
        <v>0</v>
      </c>
      <c r="AY24" s="38">
        <f t="shared" si="31"/>
        <v>0</v>
      </c>
      <c r="AZ24" s="21">
        <f t="shared" si="32"/>
        <v>0</v>
      </c>
      <c r="BA24" s="22">
        <f t="shared" si="33"/>
        <v>0</v>
      </c>
    </row>
    <row r="25" spans="1:53" ht="14.5" customHeight="1" x14ac:dyDescent="0.2">
      <c r="A25" s="54">
        <v>10</v>
      </c>
      <c r="B25" s="53" t="s">
        <v>21</v>
      </c>
      <c r="C25" s="57">
        <f>'Data '!C24</f>
        <v>1300</v>
      </c>
      <c r="D25" s="57">
        <f>'Data '!D24</f>
        <v>1500</v>
      </c>
      <c r="E25" s="39">
        <f>'Setoran 1'!C25</f>
        <v>0</v>
      </c>
      <c r="F25" s="19">
        <f t="shared" si="0"/>
        <v>0</v>
      </c>
      <c r="G25" s="19">
        <f t="shared" si="1"/>
        <v>0</v>
      </c>
      <c r="H25" s="39">
        <f>'Setoran 1'!D25</f>
        <v>0</v>
      </c>
      <c r="I25" s="19">
        <f t="shared" si="2"/>
        <v>0</v>
      </c>
      <c r="J25" s="19">
        <f t="shared" si="3"/>
        <v>0</v>
      </c>
      <c r="K25" s="39">
        <f>'Setoran 1'!E25</f>
        <v>0</v>
      </c>
      <c r="L25" s="19">
        <f t="shared" si="4"/>
        <v>0</v>
      </c>
      <c r="M25" s="19">
        <f t="shared" si="5"/>
        <v>0</v>
      </c>
      <c r="N25" s="39">
        <f>'Setoran 1'!F25</f>
        <v>0</v>
      </c>
      <c r="O25" s="19">
        <f t="shared" si="6"/>
        <v>0</v>
      </c>
      <c r="P25" s="19">
        <f t="shared" si="7"/>
        <v>0</v>
      </c>
      <c r="Q25" s="39">
        <f>'Setoran 1'!G25</f>
        <v>0</v>
      </c>
      <c r="R25" s="19">
        <f t="shared" si="8"/>
        <v>0</v>
      </c>
      <c r="S25" s="19">
        <f t="shared" si="9"/>
        <v>0</v>
      </c>
      <c r="T25" s="39">
        <f>'Setoran 1'!H25</f>
        <v>0</v>
      </c>
      <c r="U25" s="19">
        <f t="shared" si="10"/>
        <v>0</v>
      </c>
      <c r="V25" s="19">
        <f t="shared" si="11"/>
        <v>0</v>
      </c>
      <c r="W25" s="39">
        <f>'Setoran 1'!I25</f>
        <v>0</v>
      </c>
      <c r="X25" s="19">
        <f t="shared" si="12"/>
        <v>0</v>
      </c>
      <c r="Y25" s="19">
        <f t="shared" si="13"/>
        <v>0</v>
      </c>
      <c r="Z25" s="39">
        <f>'Setoran 1'!J25</f>
        <v>0</v>
      </c>
      <c r="AA25" s="19">
        <f t="shared" si="14"/>
        <v>0</v>
      </c>
      <c r="AB25" s="19">
        <f t="shared" si="15"/>
        <v>0</v>
      </c>
      <c r="AC25" s="39">
        <f>'Setoran 1'!K25</f>
        <v>0</v>
      </c>
      <c r="AD25" s="19">
        <f t="shared" si="16"/>
        <v>0</v>
      </c>
      <c r="AE25" s="19">
        <f t="shared" si="17"/>
        <v>0</v>
      </c>
      <c r="AF25" s="38">
        <f>'Setoran 1'!L25</f>
        <v>0</v>
      </c>
      <c r="AG25" s="19">
        <f t="shared" si="18"/>
        <v>0</v>
      </c>
      <c r="AH25" s="19">
        <f t="shared" si="19"/>
        <v>0</v>
      </c>
      <c r="AI25" s="38">
        <f>'Setoran 1'!M25</f>
        <v>0</v>
      </c>
      <c r="AJ25" s="19">
        <f t="shared" si="20"/>
        <v>0</v>
      </c>
      <c r="AK25" s="19">
        <f t="shared" si="21"/>
        <v>0</v>
      </c>
      <c r="AL25" s="38">
        <f>'Setoran 1'!N25</f>
        <v>0</v>
      </c>
      <c r="AM25" s="19">
        <f t="shared" si="22"/>
        <v>0</v>
      </c>
      <c r="AN25" s="19">
        <f t="shared" si="23"/>
        <v>0</v>
      </c>
      <c r="AO25" s="38">
        <f>'Setoran 1'!O25</f>
        <v>0</v>
      </c>
      <c r="AP25" s="19">
        <f t="shared" si="24"/>
        <v>0</v>
      </c>
      <c r="AQ25" s="19">
        <f t="shared" si="25"/>
        <v>0</v>
      </c>
      <c r="AR25" s="38">
        <f>'Setoran 1'!P25</f>
        <v>0</v>
      </c>
      <c r="AS25" s="19">
        <f t="shared" si="26"/>
        <v>0</v>
      </c>
      <c r="AT25" s="19">
        <f t="shared" si="27"/>
        <v>0</v>
      </c>
      <c r="AU25" s="38">
        <f>'Setoran 1'!Q25</f>
        <v>0</v>
      </c>
      <c r="AV25" s="19">
        <f t="shared" si="28"/>
        <v>0</v>
      </c>
      <c r="AW25" s="19">
        <f t="shared" si="29"/>
        <v>0</v>
      </c>
      <c r="AX25" s="39">
        <f t="shared" si="30"/>
        <v>0</v>
      </c>
      <c r="AY25" s="38">
        <f t="shared" si="31"/>
        <v>0</v>
      </c>
      <c r="AZ25" s="21">
        <f t="shared" si="32"/>
        <v>0</v>
      </c>
      <c r="BA25" s="22">
        <f t="shared" si="33"/>
        <v>0</v>
      </c>
    </row>
    <row r="26" spans="1:53" ht="14.5" customHeight="1" x14ac:dyDescent="0.2">
      <c r="A26" s="54">
        <v>11</v>
      </c>
      <c r="B26" s="53" t="s">
        <v>22</v>
      </c>
      <c r="C26" s="57">
        <f>'Data '!C25</f>
        <v>800</v>
      </c>
      <c r="D26" s="57">
        <f>'Data '!D25</f>
        <v>1000</v>
      </c>
      <c r="E26" s="39">
        <f>'Setoran 1'!C26</f>
        <v>0</v>
      </c>
      <c r="F26" s="19">
        <f t="shared" si="0"/>
        <v>0</v>
      </c>
      <c r="G26" s="19">
        <f t="shared" si="1"/>
        <v>0</v>
      </c>
      <c r="H26" s="39">
        <f>'Setoran 1'!D26</f>
        <v>0</v>
      </c>
      <c r="I26" s="19">
        <f t="shared" si="2"/>
        <v>0</v>
      </c>
      <c r="J26" s="19">
        <f t="shared" si="3"/>
        <v>0</v>
      </c>
      <c r="K26" s="39">
        <f>'Setoran 1'!E26</f>
        <v>0</v>
      </c>
      <c r="L26" s="19">
        <f t="shared" si="4"/>
        <v>0</v>
      </c>
      <c r="M26" s="19">
        <f t="shared" si="5"/>
        <v>0</v>
      </c>
      <c r="N26" s="39">
        <f>'Setoran 1'!F26</f>
        <v>0</v>
      </c>
      <c r="O26" s="19">
        <f t="shared" si="6"/>
        <v>0</v>
      </c>
      <c r="P26" s="19">
        <f t="shared" si="7"/>
        <v>0</v>
      </c>
      <c r="Q26" s="39">
        <f>'Setoran 1'!G26</f>
        <v>0</v>
      </c>
      <c r="R26" s="19">
        <f t="shared" si="8"/>
        <v>0</v>
      </c>
      <c r="S26" s="19">
        <f t="shared" si="9"/>
        <v>0</v>
      </c>
      <c r="T26" s="39">
        <f>'Setoran 1'!H26</f>
        <v>0</v>
      </c>
      <c r="U26" s="19">
        <f t="shared" si="10"/>
        <v>0</v>
      </c>
      <c r="V26" s="19">
        <f t="shared" si="11"/>
        <v>0</v>
      </c>
      <c r="W26" s="39">
        <f>'Setoran 1'!I26</f>
        <v>0</v>
      </c>
      <c r="X26" s="19">
        <f t="shared" si="12"/>
        <v>0</v>
      </c>
      <c r="Y26" s="19">
        <f t="shared" si="13"/>
        <v>0</v>
      </c>
      <c r="Z26" s="39">
        <f>'Setoran 1'!J26</f>
        <v>0</v>
      </c>
      <c r="AA26" s="19">
        <f t="shared" si="14"/>
        <v>0</v>
      </c>
      <c r="AB26" s="19">
        <f t="shared" si="15"/>
        <v>0</v>
      </c>
      <c r="AC26" s="39">
        <f>'Setoran 1'!K26</f>
        <v>0</v>
      </c>
      <c r="AD26" s="19">
        <f t="shared" si="16"/>
        <v>0</v>
      </c>
      <c r="AE26" s="19">
        <f t="shared" si="17"/>
        <v>0</v>
      </c>
      <c r="AF26" s="38">
        <f>'Setoran 1'!L26</f>
        <v>0</v>
      </c>
      <c r="AG26" s="19">
        <f t="shared" si="18"/>
        <v>0</v>
      </c>
      <c r="AH26" s="19">
        <f t="shared" si="19"/>
        <v>0</v>
      </c>
      <c r="AI26" s="38">
        <f>'Setoran 1'!M26</f>
        <v>0</v>
      </c>
      <c r="AJ26" s="19">
        <f t="shared" si="20"/>
        <v>0</v>
      </c>
      <c r="AK26" s="19">
        <f t="shared" si="21"/>
        <v>0</v>
      </c>
      <c r="AL26" s="38">
        <f>'Setoran 1'!N26</f>
        <v>0</v>
      </c>
      <c r="AM26" s="19">
        <f t="shared" si="22"/>
        <v>0</v>
      </c>
      <c r="AN26" s="19">
        <f t="shared" si="23"/>
        <v>0</v>
      </c>
      <c r="AO26" s="38">
        <f>'Setoran 1'!O26</f>
        <v>0</v>
      </c>
      <c r="AP26" s="19">
        <f t="shared" si="24"/>
        <v>0</v>
      </c>
      <c r="AQ26" s="19">
        <f t="shared" si="25"/>
        <v>0</v>
      </c>
      <c r="AR26" s="38">
        <f>'Setoran 1'!P26</f>
        <v>0</v>
      </c>
      <c r="AS26" s="19">
        <f t="shared" si="26"/>
        <v>0</v>
      </c>
      <c r="AT26" s="19">
        <f t="shared" si="27"/>
        <v>0</v>
      </c>
      <c r="AU26" s="38">
        <f>'Setoran 1'!Q26</f>
        <v>0</v>
      </c>
      <c r="AV26" s="19">
        <f t="shared" si="28"/>
        <v>0</v>
      </c>
      <c r="AW26" s="19">
        <f t="shared" si="29"/>
        <v>0</v>
      </c>
      <c r="AX26" s="39">
        <f t="shared" si="30"/>
        <v>0</v>
      </c>
      <c r="AY26" s="38">
        <f t="shared" si="31"/>
        <v>0</v>
      </c>
      <c r="AZ26" s="21">
        <f t="shared" si="32"/>
        <v>0</v>
      </c>
      <c r="BA26" s="22">
        <f t="shared" si="33"/>
        <v>0</v>
      </c>
    </row>
    <row r="27" spans="1:53" ht="14.5" customHeight="1" x14ac:dyDescent="0.2">
      <c r="A27" s="78" t="s">
        <v>83</v>
      </c>
      <c r="B27" s="78"/>
      <c r="C27" s="62"/>
      <c r="D27" s="62"/>
      <c r="E27" s="39"/>
      <c r="F27" s="19"/>
      <c r="G27" s="19"/>
      <c r="H27" s="39"/>
      <c r="I27" s="19"/>
      <c r="J27" s="19"/>
      <c r="K27" s="39"/>
      <c r="L27" s="19"/>
      <c r="M27" s="19"/>
      <c r="N27" s="39"/>
      <c r="O27" s="19"/>
      <c r="P27" s="19"/>
      <c r="Q27" s="39"/>
      <c r="R27" s="19"/>
      <c r="S27" s="19"/>
      <c r="T27" s="39"/>
      <c r="U27" s="19"/>
      <c r="V27" s="19"/>
      <c r="W27" s="39"/>
      <c r="X27" s="19"/>
      <c r="Y27" s="19"/>
      <c r="Z27" s="39"/>
      <c r="AA27" s="19"/>
      <c r="AB27" s="19"/>
      <c r="AC27" s="39"/>
      <c r="AD27" s="19"/>
      <c r="AE27" s="19"/>
      <c r="AF27" s="38"/>
      <c r="AG27" s="19"/>
      <c r="AH27" s="19"/>
      <c r="AI27" s="38"/>
      <c r="AJ27" s="19"/>
      <c r="AK27" s="19"/>
      <c r="AL27" s="38"/>
      <c r="AM27" s="19"/>
      <c r="AN27" s="19"/>
      <c r="AO27" s="38"/>
      <c r="AP27" s="19"/>
      <c r="AQ27" s="19"/>
      <c r="AR27" s="38"/>
      <c r="AS27" s="19"/>
      <c r="AT27" s="19"/>
      <c r="AU27" s="38"/>
      <c r="AV27" s="19"/>
      <c r="AW27" s="19"/>
      <c r="AX27" s="39"/>
      <c r="AY27" s="38"/>
      <c r="AZ27" s="21"/>
      <c r="BA27" s="22"/>
    </row>
    <row r="28" spans="1:53" ht="14.5" customHeight="1" x14ac:dyDescent="0.2">
      <c r="A28" s="54">
        <v>1</v>
      </c>
      <c r="B28" s="53" t="s">
        <v>17</v>
      </c>
      <c r="C28" s="57">
        <f>'Data '!C26</f>
        <v>1100</v>
      </c>
      <c r="D28" s="57">
        <f>'Data '!D26</f>
        <v>1200</v>
      </c>
      <c r="E28" s="39">
        <f>'Setoran 1'!C28</f>
        <v>0</v>
      </c>
      <c r="F28" s="19">
        <f t="shared" si="0"/>
        <v>0</v>
      </c>
      <c r="G28" s="19">
        <f t="shared" si="1"/>
        <v>0</v>
      </c>
      <c r="H28" s="39">
        <f>'Setoran 1'!D28</f>
        <v>0</v>
      </c>
      <c r="I28" s="19">
        <f t="shared" si="2"/>
        <v>0</v>
      </c>
      <c r="J28" s="19">
        <f t="shared" si="3"/>
        <v>0</v>
      </c>
      <c r="K28" s="39">
        <f>'Setoran 1'!E28</f>
        <v>0</v>
      </c>
      <c r="L28" s="19">
        <f t="shared" si="4"/>
        <v>0</v>
      </c>
      <c r="M28" s="19">
        <f t="shared" si="5"/>
        <v>0</v>
      </c>
      <c r="N28" s="39">
        <f>'Setoran 1'!F28</f>
        <v>0</v>
      </c>
      <c r="O28" s="19">
        <f t="shared" si="6"/>
        <v>0</v>
      </c>
      <c r="P28" s="19">
        <f t="shared" si="7"/>
        <v>0</v>
      </c>
      <c r="Q28" s="39">
        <f>'Setoran 1'!G28</f>
        <v>0</v>
      </c>
      <c r="R28" s="19">
        <f t="shared" si="8"/>
        <v>0</v>
      </c>
      <c r="S28" s="19">
        <f t="shared" si="9"/>
        <v>0</v>
      </c>
      <c r="T28" s="39">
        <f>'Setoran 1'!H28</f>
        <v>0</v>
      </c>
      <c r="U28" s="19">
        <f t="shared" si="10"/>
        <v>0</v>
      </c>
      <c r="V28" s="19">
        <f t="shared" si="11"/>
        <v>0</v>
      </c>
      <c r="W28" s="39">
        <f>'Setoran 1'!I28</f>
        <v>0</v>
      </c>
      <c r="X28" s="19">
        <f t="shared" si="12"/>
        <v>0</v>
      </c>
      <c r="Y28" s="19">
        <f t="shared" si="13"/>
        <v>0</v>
      </c>
      <c r="Z28" s="39">
        <f>'Setoran 1'!J28</f>
        <v>0</v>
      </c>
      <c r="AA28" s="19">
        <f t="shared" si="14"/>
        <v>0</v>
      </c>
      <c r="AB28" s="19">
        <f t="shared" si="15"/>
        <v>0</v>
      </c>
      <c r="AC28" s="39">
        <f>'Setoran 1'!K28</f>
        <v>0</v>
      </c>
      <c r="AD28" s="19">
        <f t="shared" si="16"/>
        <v>0</v>
      </c>
      <c r="AE28" s="19">
        <f t="shared" si="17"/>
        <v>0</v>
      </c>
      <c r="AF28" s="38">
        <f>'Setoran 1'!L28</f>
        <v>0</v>
      </c>
      <c r="AG28" s="19">
        <f t="shared" si="18"/>
        <v>0</v>
      </c>
      <c r="AH28" s="19">
        <f t="shared" si="19"/>
        <v>0</v>
      </c>
      <c r="AI28" s="38">
        <f>'Setoran 1'!M28</f>
        <v>0</v>
      </c>
      <c r="AJ28" s="19">
        <f t="shared" si="20"/>
        <v>0</v>
      </c>
      <c r="AK28" s="19">
        <f t="shared" si="21"/>
        <v>0</v>
      </c>
      <c r="AL28" s="38">
        <f>'Setoran 1'!N28</f>
        <v>0</v>
      </c>
      <c r="AM28" s="19">
        <f t="shared" si="22"/>
        <v>0</v>
      </c>
      <c r="AN28" s="19">
        <f t="shared" si="23"/>
        <v>0</v>
      </c>
      <c r="AO28" s="38">
        <f>'Setoran 1'!O28</f>
        <v>0</v>
      </c>
      <c r="AP28" s="19">
        <f t="shared" si="24"/>
        <v>0</v>
      </c>
      <c r="AQ28" s="19">
        <f t="shared" si="25"/>
        <v>0</v>
      </c>
      <c r="AR28" s="38">
        <f>'Setoran 1'!P28</f>
        <v>0</v>
      </c>
      <c r="AS28" s="19">
        <f t="shared" si="26"/>
        <v>0</v>
      </c>
      <c r="AT28" s="19">
        <f t="shared" si="27"/>
        <v>0</v>
      </c>
      <c r="AU28" s="38">
        <f>'Setoran 1'!Q28</f>
        <v>0</v>
      </c>
      <c r="AV28" s="19">
        <f t="shared" si="28"/>
        <v>0</v>
      </c>
      <c r="AW28" s="19">
        <f t="shared" si="29"/>
        <v>0</v>
      </c>
      <c r="AX28" s="39">
        <f t="shared" si="30"/>
        <v>0</v>
      </c>
      <c r="AY28" s="38">
        <f t="shared" si="31"/>
        <v>0</v>
      </c>
      <c r="AZ28" s="21">
        <f t="shared" si="32"/>
        <v>0</v>
      </c>
      <c r="BA28" s="22">
        <f t="shared" si="33"/>
        <v>0</v>
      </c>
    </row>
    <row r="29" spans="1:53" ht="14.5" customHeight="1" x14ac:dyDescent="0.2">
      <c r="A29" s="54">
        <v>2</v>
      </c>
      <c r="B29" s="53" t="s">
        <v>18</v>
      </c>
      <c r="C29" s="57">
        <f>'Data '!C27</f>
        <v>1900</v>
      </c>
      <c r="D29" s="57">
        <f>'Data '!D27</f>
        <v>2000</v>
      </c>
      <c r="E29" s="39">
        <f>'Setoran 1'!C29</f>
        <v>0</v>
      </c>
      <c r="F29" s="19">
        <f t="shared" si="0"/>
        <v>0</v>
      </c>
      <c r="G29" s="19">
        <f t="shared" si="1"/>
        <v>0</v>
      </c>
      <c r="H29" s="39">
        <f>'Setoran 1'!D29</f>
        <v>0</v>
      </c>
      <c r="I29" s="19">
        <f t="shared" si="2"/>
        <v>0</v>
      </c>
      <c r="J29" s="19">
        <f t="shared" si="3"/>
        <v>0</v>
      </c>
      <c r="K29" s="39">
        <f>'Setoran 1'!E29</f>
        <v>0</v>
      </c>
      <c r="L29" s="19">
        <f t="shared" si="4"/>
        <v>0</v>
      </c>
      <c r="M29" s="19">
        <f t="shared" si="5"/>
        <v>0</v>
      </c>
      <c r="N29" s="39">
        <f>'Setoran 1'!F29</f>
        <v>0</v>
      </c>
      <c r="O29" s="19">
        <f t="shared" si="6"/>
        <v>0</v>
      </c>
      <c r="P29" s="19">
        <f t="shared" si="7"/>
        <v>0</v>
      </c>
      <c r="Q29" s="39">
        <f>'Setoran 1'!G29</f>
        <v>0</v>
      </c>
      <c r="R29" s="19">
        <f t="shared" si="8"/>
        <v>0</v>
      </c>
      <c r="S29" s="19">
        <f t="shared" si="9"/>
        <v>0</v>
      </c>
      <c r="T29" s="39">
        <f>'Setoran 1'!H29</f>
        <v>0</v>
      </c>
      <c r="U29" s="19">
        <f t="shared" si="10"/>
        <v>0</v>
      </c>
      <c r="V29" s="19">
        <f t="shared" si="11"/>
        <v>0</v>
      </c>
      <c r="W29" s="39">
        <f>'Setoran 1'!I29</f>
        <v>0</v>
      </c>
      <c r="X29" s="19">
        <f t="shared" si="12"/>
        <v>0</v>
      </c>
      <c r="Y29" s="19">
        <f t="shared" si="13"/>
        <v>0</v>
      </c>
      <c r="Z29" s="39">
        <f>'Setoran 1'!J29</f>
        <v>0</v>
      </c>
      <c r="AA29" s="19">
        <f t="shared" si="14"/>
        <v>0</v>
      </c>
      <c r="AB29" s="19">
        <f t="shared" si="15"/>
        <v>0</v>
      </c>
      <c r="AC29" s="39">
        <f>'Setoran 1'!K29</f>
        <v>0</v>
      </c>
      <c r="AD29" s="19">
        <f t="shared" si="16"/>
        <v>0</v>
      </c>
      <c r="AE29" s="19">
        <f t="shared" si="17"/>
        <v>0</v>
      </c>
      <c r="AF29" s="38">
        <f>'Setoran 1'!L29</f>
        <v>0</v>
      </c>
      <c r="AG29" s="19">
        <f t="shared" si="18"/>
        <v>0</v>
      </c>
      <c r="AH29" s="19">
        <f t="shared" si="19"/>
        <v>0</v>
      </c>
      <c r="AI29" s="38">
        <f>'Setoran 1'!M29</f>
        <v>0</v>
      </c>
      <c r="AJ29" s="19">
        <f t="shared" si="20"/>
        <v>0</v>
      </c>
      <c r="AK29" s="19">
        <f t="shared" si="21"/>
        <v>0</v>
      </c>
      <c r="AL29" s="38">
        <f>'Setoran 1'!N29</f>
        <v>0</v>
      </c>
      <c r="AM29" s="19">
        <f t="shared" si="22"/>
        <v>0</v>
      </c>
      <c r="AN29" s="19">
        <f t="shared" si="23"/>
        <v>0</v>
      </c>
      <c r="AO29" s="38">
        <f>'Setoran 1'!O29</f>
        <v>0</v>
      </c>
      <c r="AP29" s="19">
        <f t="shared" si="24"/>
        <v>0</v>
      </c>
      <c r="AQ29" s="19">
        <f t="shared" si="25"/>
        <v>0</v>
      </c>
      <c r="AR29" s="38">
        <f>'Setoran 1'!P29</f>
        <v>0</v>
      </c>
      <c r="AS29" s="19">
        <f t="shared" si="26"/>
        <v>0</v>
      </c>
      <c r="AT29" s="19">
        <f t="shared" si="27"/>
        <v>0</v>
      </c>
      <c r="AU29" s="38">
        <f>'Setoran 1'!Q29</f>
        <v>0</v>
      </c>
      <c r="AV29" s="19">
        <f t="shared" si="28"/>
        <v>0</v>
      </c>
      <c r="AW29" s="19">
        <f t="shared" si="29"/>
        <v>0</v>
      </c>
      <c r="AX29" s="39">
        <f t="shared" si="30"/>
        <v>0</v>
      </c>
      <c r="AY29" s="38">
        <f t="shared" si="31"/>
        <v>0</v>
      </c>
      <c r="AZ29" s="21">
        <f t="shared" si="32"/>
        <v>0</v>
      </c>
      <c r="BA29" s="22">
        <f t="shared" si="33"/>
        <v>0</v>
      </c>
    </row>
    <row r="30" spans="1:53" ht="14.5" customHeight="1" x14ac:dyDescent="0.2">
      <c r="A30" s="54">
        <v>3</v>
      </c>
      <c r="B30" s="53" t="s">
        <v>19</v>
      </c>
      <c r="C30" s="57">
        <f>'Data '!C28</f>
        <v>900</v>
      </c>
      <c r="D30" s="57">
        <f>'Data '!D28</f>
        <v>1000</v>
      </c>
      <c r="E30" s="39">
        <f>'Setoran 1'!C30</f>
        <v>0</v>
      </c>
      <c r="F30" s="19">
        <f t="shared" si="0"/>
        <v>0</v>
      </c>
      <c r="G30" s="19">
        <f t="shared" si="1"/>
        <v>0</v>
      </c>
      <c r="H30" s="39">
        <f>'Setoran 1'!D30</f>
        <v>0</v>
      </c>
      <c r="I30" s="19">
        <f t="shared" si="2"/>
        <v>0</v>
      </c>
      <c r="J30" s="19">
        <f t="shared" si="3"/>
        <v>0</v>
      </c>
      <c r="K30" s="39">
        <f>'Setoran 1'!E30</f>
        <v>0</v>
      </c>
      <c r="L30" s="19">
        <f t="shared" si="4"/>
        <v>0</v>
      </c>
      <c r="M30" s="19">
        <f t="shared" si="5"/>
        <v>0</v>
      </c>
      <c r="N30" s="39">
        <f>'Setoran 1'!F30</f>
        <v>0</v>
      </c>
      <c r="O30" s="19">
        <f t="shared" si="6"/>
        <v>0</v>
      </c>
      <c r="P30" s="19">
        <f t="shared" si="7"/>
        <v>0</v>
      </c>
      <c r="Q30" s="39">
        <f>'Setoran 1'!G30</f>
        <v>0</v>
      </c>
      <c r="R30" s="19">
        <f t="shared" si="8"/>
        <v>0</v>
      </c>
      <c r="S30" s="19">
        <f t="shared" si="9"/>
        <v>0</v>
      </c>
      <c r="T30" s="39">
        <f>'Setoran 1'!H30</f>
        <v>0</v>
      </c>
      <c r="U30" s="19">
        <f t="shared" si="10"/>
        <v>0</v>
      </c>
      <c r="V30" s="19">
        <f t="shared" si="11"/>
        <v>0</v>
      </c>
      <c r="W30" s="39">
        <f>'Setoran 1'!I30</f>
        <v>0</v>
      </c>
      <c r="X30" s="19">
        <f t="shared" si="12"/>
        <v>0</v>
      </c>
      <c r="Y30" s="19">
        <f t="shared" si="13"/>
        <v>0</v>
      </c>
      <c r="Z30" s="39">
        <f>'Setoran 1'!J30</f>
        <v>0</v>
      </c>
      <c r="AA30" s="19">
        <f t="shared" si="14"/>
        <v>0</v>
      </c>
      <c r="AB30" s="19">
        <f t="shared" si="15"/>
        <v>0</v>
      </c>
      <c r="AC30" s="39">
        <f>'Setoran 1'!K30</f>
        <v>0</v>
      </c>
      <c r="AD30" s="19">
        <f t="shared" si="16"/>
        <v>0</v>
      </c>
      <c r="AE30" s="19">
        <f t="shared" si="17"/>
        <v>0</v>
      </c>
      <c r="AF30" s="38">
        <f>'Setoran 1'!L30</f>
        <v>0</v>
      </c>
      <c r="AG30" s="19">
        <f t="shared" si="18"/>
        <v>0</v>
      </c>
      <c r="AH30" s="19">
        <f t="shared" si="19"/>
        <v>0</v>
      </c>
      <c r="AI30" s="38">
        <f>'Setoran 1'!M30</f>
        <v>0</v>
      </c>
      <c r="AJ30" s="19">
        <f t="shared" si="20"/>
        <v>0</v>
      </c>
      <c r="AK30" s="19">
        <f t="shared" si="21"/>
        <v>0</v>
      </c>
      <c r="AL30" s="38">
        <f>'Setoran 1'!N30</f>
        <v>0</v>
      </c>
      <c r="AM30" s="19">
        <f t="shared" si="22"/>
        <v>0</v>
      </c>
      <c r="AN30" s="19">
        <f t="shared" si="23"/>
        <v>0</v>
      </c>
      <c r="AO30" s="38">
        <f>'Setoran 1'!O30</f>
        <v>0</v>
      </c>
      <c r="AP30" s="19">
        <f t="shared" si="24"/>
        <v>0</v>
      </c>
      <c r="AQ30" s="19">
        <f t="shared" si="25"/>
        <v>0</v>
      </c>
      <c r="AR30" s="38">
        <f>'Setoran 1'!P30</f>
        <v>0</v>
      </c>
      <c r="AS30" s="19">
        <f t="shared" si="26"/>
        <v>0</v>
      </c>
      <c r="AT30" s="19">
        <f t="shared" si="27"/>
        <v>0</v>
      </c>
      <c r="AU30" s="38">
        <f>'Setoran 1'!Q30</f>
        <v>0</v>
      </c>
      <c r="AV30" s="19">
        <f t="shared" si="28"/>
        <v>0</v>
      </c>
      <c r="AW30" s="19">
        <f t="shared" si="29"/>
        <v>0</v>
      </c>
      <c r="AX30" s="39">
        <f t="shared" si="30"/>
        <v>0</v>
      </c>
      <c r="AY30" s="38">
        <f t="shared" si="31"/>
        <v>0</v>
      </c>
      <c r="AZ30" s="21">
        <f t="shared" si="32"/>
        <v>0</v>
      </c>
      <c r="BA30" s="22">
        <f t="shared" si="33"/>
        <v>0</v>
      </c>
    </row>
    <row r="31" spans="1:53" ht="14.5" customHeight="1" x14ac:dyDescent="0.2">
      <c r="A31" s="78" t="s">
        <v>85</v>
      </c>
      <c r="B31" s="78"/>
      <c r="C31" s="59"/>
      <c r="D31" s="59"/>
      <c r="E31" s="39"/>
      <c r="F31" s="19"/>
      <c r="G31" s="19"/>
      <c r="H31" s="39"/>
      <c r="I31" s="19"/>
      <c r="J31" s="19"/>
      <c r="K31" s="39"/>
      <c r="L31" s="19"/>
      <c r="M31" s="19"/>
      <c r="N31" s="39"/>
      <c r="O31" s="19"/>
      <c r="P31" s="19"/>
      <c r="Q31" s="39"/>
      <c r="R31" s="19"/>
      <c r="S31" s="19"/>
      <c r="T31" s="39"/>
      <c r="U31" s="19"/>
      <c r="V31" s="19"/>
      <c r="W31" s="39"/>
      <c r="X31" s="19"/>
      <c r="Y31" s="19"/>
      <c r="Z31" s="39"/>
      <c r="AA31" s="19"/>
      <c r="AB31" s="19"/>
      <c r="AC31" s="39"/>
      <c r="AD31" s="19"/>
      <c r="AE31" s="19"/>
      <c r="AF31" s="38"/>
      <c r="AG31" s="19"/>
      <c r="AH31" s="19"/>
      <c r="AI31" s="38"/>
      <c r="AJ31" s="19"/>
      <c r="AK31" s="19"/>
      <c r="AL31" s="38"/>
      <c r="AM31" s="19"/>
      <c r="AN31" s="19"/>
      <c r="AO31" s="38"/>
      <c r="AP31" s="19"/>
      <c r="AQ31" s="19"/>
      <c r="AR31" s="38"/>
      <c r="AS31" s="19"/>
      <c r="AT31" s="19"/>
      <c r="AU31" s="38"/>
      <c r="AV31" s="19"/>
      <c r="AW31" s="19"/>
      <c r="AX31" s="39"/>
      <c r="AY31" s="38"/>
      <c r="AZ31" s="21"/>
      <c r="BA31" s="22"/>
    </row>
    <row r="32" spans="1:53" ht="14.5" customHeight="1" x14ac:dyDescent="0.2">
      <c r="A32" s="54">
        <v>1</v>
      </c>
      <c r="B32" s="53" t="s">
        <v>23</v>
      </c>
      <c r="C32" s="57">
        <f>'Data '!C29</f>
        <v>400</v>
      </c>
      <c r="D32" s="57">
        <f>'Data '!D29</f>
        <v>500</v>
      </c>
      <c r="E32" s="39">
        <f>'Setoran 1'!C32</f>
        <v>0</v>
      </c>
      <c r="F32" s="19">
        <f t="shared" si="0"/>
        <v>0</v>
      </c>
      <c r="G32" s="19">
        <f t="shared" si="1"/>
        <v>0</v>
      </c>
      <c r="H32" s="39">
        <f>'Setoran 1'!D32</f>
        <v>0</v>
      </c>
      <c r="I32" s="19">
        <f t="shared" si="2"/>
        <v>0</v>
      </c>
      <c r="J32" s="19">
        <f t="shared" si="3"/>
        <v>0</v>
      </c>
      <c r="K32" s="39">
        <f>'Setoran 1'!E32</f>
        <v>0</v>
      </c>
      <c r="L32" s="19">
        <f t="shared" si="4"/>
        <v>0</v>
      </c>
      <c r="M32" s="19">
        <f t="shared" si="5"/>
        <v>0</v>
      </c>
      <c r="N32" s="39">
        <f>'Setoran 1'!F32</f>
        <v>0</v>
      </c>
      <c r="O32" s="19">
        <f t="shared" si="6"/>
        <v>0</v>
      </c>
      <c r="P32" s="19">
        <f t="shared" si="7"/>
        <v>0</v>
      </c>
      <c r="Q32" s="39">
        <f>'Setoran 1'!G32</f>
        <v>0</v>
      </c>
      <c r="R32" s="19">
        <f t="shared" si="8"/>
        <v>0</v>
      </c>
      <c r="S32" s="19">
        <f t="shared" si="9"/>
        <v>0</v>
      </c>
      <c r="T32" s="39">
        <f>'Setoran 1'!H32</f>
        <v>1.07</v>
      </c>
      <c r="U32" s="19">
        <f t="shared" si="10"/>
        <v>428</v>
      </c>
      <c r="V32" s="19">
        <f t="shared" si="11"/>
        <v>535</v>
      </c>
      <c r="W32" s="39">
        <f>'Setoran 1'!I32</f>
        <v>0</v>
      </c>
      <c r="X32" s="19">
        <f t="shared" si="12"/>
        <v>0</v>
      </c>
      <c r="Y32" s="19">
        <f t="shared" si="13"/>
        <v>0</v>
      </c>
      <c r="Z32" s="39">
        <f>'Setoran 1'!J32</f>
        <v>0</v>
      </c>
      <c r="AA32" s="19">
        <f t="shared" si="14"/>
        <v>0</v>
      </c>
      <c r="AB32" s="19">
        <f t="shared" si="15"/>
        <v>0</v>
      </c>
      <c r="AC32" s="39">
        <f>'Setoran 1'!K32</f>
        <v>3.5</v>
      </c>
      <c r="AD32" s="19">
        <f t="shared" si="16"/>
        <v>1400</v>
      </c>
      <c r="AE32" s="19">
        <f t="shared" si="17"/>
        <v>1750</v>
      </c>
      <c r="AF32" s="38">
        <f>'Setoran 1'!L32</f>
        <v>0</v>
      </c>
      <c r="AG32" s="19">
        <f t="shared" si="18"/>
        <v>0</v>
      </c>
      <c r="AH32" s="19">
        <f t="shared" si="19"/>
        <v>0</v>
      </c>
      <c r="AI32" s="38">
        <f>'Setoran 1'!M32</f>
        <v>0</v>
      </c>
      <c r="AJ32" s="19">
        <f t="shared" si="20"/>
        <v>0</v>
      </c>
      <c r="AK32" s="19">
        <f t="shared" si="21"/>
        <v>0</v>
      </c>
      <c r="AL32" s="38">
        <f>'Setoran 1'!N32</f>
        <v>0</v>
      </c>
      <c r="AM32" s="19">
        <f t="shared" si="22"/>
        <v>0</v>
      </c>
      <c r="AN32" s="19">
        <f t="shared" si="23"/>
        <v>0</v>
      </c>
      <c r="AO32" s="38">
        <f>'Setoran 1'!O32</f>
        <v>0</v>
      </c>
      <c r="AP32" s="19">
        <f t="shared" si="24"/>
        <v>0</v>
      </c>
      <c r="AQ32" s="19">
        <f t="shared" si="25"/>
        <v>0</v>
      </c>
      <c r="AR32" s="38">
        <f>'Setoran 1'!P32</f>
        <v>0</v>
      </c>
      <c r="AS32" s="19">
        <f t="shared" si="26"/>
        <v>0</v>
      </c>
      <c r="AT32" s="19">
        <f t="shared" si="27"/>
        <v>0</v>
      </c>
      <c r="AU32" s="38">
        <f>'Setoran 1'!Q32</f>
        <v>0</v>
      </c>
      <c r="AV32" s="19">
        <f t="shared" si="28"/>
        <v>0</v>
      </c>
      <c r="AW32" s="19">
        <f t="shared" si="29"/>
        <v>0</v>
      </c>
      <c r="AX32" s="39">
        <f t="shared" si="30"/>
        <v>4.57</v>
      </c>
      <c r="AY32" s="38">
        <f t="shared" si="31"/>
        <v>1828</v>
      </c>
      <c r="AZ32" s="21">
        <f t="shared" si="32"/>
        <v>2285</v>
      </c>
      <c r="BA32" s="22">
        <f t="shared" si="33"/>
        <v>457</v>
      </c>
    </row>
    <row r="33" spans="1:53" ht="14.5" customHeight="1" x14ac:dyDescent="0.2">
      <c r="A33" s="54">
        <v>2</v>
      </c>
      <c r="B33" s="53" t="s">
        <v>24</v>
      </c>
      <c r="C33" s="57">
        <f>'Data '!C30</f>
        <v>50</v>
      </c>
      <c r="D33" s="57">
        <f>'Data '!D30</f>
        <v>100</v>
      </c>
      <c r="E33" s="39">
        <f>'Setoran 1'!C33</f>
        <v>0</v>
      </c>
      <c r="F33" s="19">
        <f t="shared" si="0"/>
        <v>0</v>
      </c>
      <c r="G33" s="19">
        <f t="shared" si="1"/>
        <v>0</v>
      </c>
      <c r="H33" s="39">
        <f>'Setoran 1'!D33</f>
        <v>1.2</v>
      </c>
      <c r="I33" s="19">
        <f t="shared" si="2"/>
        <v>60</v>
      </c>
      <c r="J33" s="19">
        <f t="shared" si="3"/>
        <v>120</v>
      </c>
      <c r="K33" s="39">
        <f>'Setoran 1'!E33</f>
        <v>0</v>
      </c>
      <c r="L33" s="19">
        <f t="shared" si="4"/>
        <v>0</v>
      </c>
      <c r="M33" s="19">
        <f t="shared" si="5"/>
        <v>0</v>
      </c>
      <c r="N33" s="39">
        <f>'Setoran 1'!F33</f>
        <v>0</v>
      </c>
      <c r="O33" s="19">
        <f t="shared" si="6"/>
        <v>0</v>
      </c>
      <c r="P33" s="19">
        <f t="shared" si="7"/>
        <v>0</v>
      </c>
      <c r="Q33" s="39">
        <f>'Setoran 1'!G33</f>
        <v>4.4000000000000004</v>
      </c>
      <c r="R33" s="19">
        <f t="shared" si="8"/>
        <v>220.00000000000003</v>
      </c>
      <c r="S33" s="19">
        <f t="shared" si="9"/>
        <v>440.00000000000006</v>
      </c>
      <c r="T33" s="39">
        <f>'Setoran 1'!H33</f>
        <v>0.62</v>
      </c>
      <c r="U33" s="19">
        <f t="shared" si="10"/>
        <v>31</v>
      </c>
      <c r="V33" s="19">
        <f t="shared" si="11"/>
        <v>62</v>
      </c>
      <c r="W33" s="39">
        <f>'Setoran 1'!I33</f>
        <v>0</v>
      </c>
      <c r="X33" s="19">
        <f t="shared" si="12"/>
        <v>0</v>
      </c>
      <c r="Y33" s="19">
        <f t="shared" si="13"/>
        <v>0</v>
      </c>
      <c r="Z33" s="39">
        <f>'Setoran 1'!J33</f>
        <v>0</v>
      </c>
      <c r="AA33" s="19">
        <f t="shared" si="14"/>
        <v>0</v>
      </c>
      <c r="AB33" s="19">
        <f t="shared" si="15"/>
        <v>0</v>
      </c>
      <c r="AC33" s="39">
        <f>'Setoran 1'!K33</f>
        <v>0</v>
      </c>
      <c r="AD33" s="19">
        <f t="shared" si="16"/>
        <v>0</v>
      </c>
      <c r="AE33" s="19">
        <f t="shared" si="17"/>
        <v>0</v>
      </c>
      <c r="AF33" s="38">
        <f>'Setoran 1'!L33</f>
        <v>0</v>
      </c>
      <c r="AG33" s="19">
        <f t="shared" si="18"/>
        <v>0</v>
      </c>
      <c r="AH33" s="19">
        <f t="shared" si="19"/>
        <v>0</v>
      </c>
      <c r="AI33" s="38">
        <f>'Setoran 1'!M33</f>
        <v>0</v>
      </c>
      <c r="AJ33" s="19">
        <f t="shared" si="20"/>
        <v>0</v>
      </c>
      <c r="AK33" s="19">
        <f t="shared" si="21"/>
        <v>0</v>
      </c>
      <c r="AL33" s="38">
        <f>'Setoran 1'!N33</f>
        <v>0</v>
      </c>
      <c r="AM33" s="19">
        <f t="shared" si="22"/>
        <v>0</v>
      </c>
      <c r="AN33" s="19">
        <f t="shared" si="23"/>
        <v>0</v>
      </c>
      <c r="AO33" s="38">
        <f>'Setoran 1'!O33</f>
        <v>0</v>
      </c>
      <c r="AP33" s="19">
        <f t="shared" si="24"/>
        <v>0</v>
      </c>
      <c r="AQ33" s="19">
        <f t="shared" si="25"/>
        <v>0</v>
      </c>
      <c r="AR33" s="38">
        <f>'Setoran 1'!P33</f>
        <v>0</v>
      </c>
      <c r="AS33" s="19">
        <f t="shared" si="26"/>
        <v>0</v>
      </c>
      <c r="AT33" s="19">
        <f t="shared" si="27"/>
        <v>0</v>
      </c>
      <c r="AU33" s="38">
        <f>'Setoran 1'!Q33</f>
        <v>0</v>
      </c>
      <c r="AV33" s="19">
        <f t="shared" si="28"/>
        <v>0</v>
      </c>
      <c r="AW33" s="19">
        <f t="shared" si="29"/>
        <v>0</v>
      </c>
      <c r="AX33" s="39">
        <f t="shared" si="30"/>
        <v>6.2200000000000006</v>
      </c>
      <c r="AY33" s="38">
        <f t="shared" si="31"/>
        <v>311</v>
      </c>
      <c r="AZ33" s="21">
        <f t="shared" si="32"/>
        <v>622</v>
      </c>
      <c r="BA33" s="22">
        <f t="shared" si="33"/>
        <v>311</v>
      </c>
    </row>
    <row r="34" spans="1:53" ht="14.5" customHeight="1" x14ac:dyDescent="0.2">
      <c r="A34" s="54">
        <v>3</v>
      </c>
      <c r="B34" s="53" t="s">
        <v>25</v>
      </c>
      <c r="C34" s="57">
        <f>'Data '!C31</f>
        <v>50</v>
      </c>
      <c r="D34" s="57">
        <f>'Data '!D31</f>
        <v>100</v>
      </c>
      <c r="E34" s="39">
        <f>'Setoran 1'!C34</f>
        <v>4.2</v>
      </c>
      <c r="F34" s="19">
        <f t="shared" ref="F34" si="68">E34*C34</f>
        <v>210</v>
      </c>
      <c r="G34" s="19">
        <f t="shared" ref="G34" si="69">E34*D34</f>
        <v>420</v>
      </c>
      <c r="H34" s="39">
        <f>'Setoran 1'!D34</f>
        <v>0</v>
      </c>
      <c r="I34" s="19">
        <f t="shared" ref="I34" si="70">H34*$C34</f>
        <v>0</v>
      </c>
      <c r="J34" s="19">
        <f t="shared" ref="J34" si="71">H34*$D34</f>
        <v>0</v>
      </c>
      <c r="K34" s="39">
        <f>'Setoran 1'!E34</f>
        <v>0</v>
      </c>
      <c r="L34" s="19">
        <f t="shared" ref="L34" si="72">K34*$C34</f>
        <v>0</v>
      </c>
      <c r="M34" s="19">
        <f t="shared" ref="M34" si="73">K34*$D34</f>
        <v>0</v>
      </c>
      <c r="N34" s="39">
        <f>'Setoran 1'!F34</f>
        <v>0.53</v>
      </c>
      <c r="O34" s="19">
        <f t="shared" ref="O34" si="74">N34*$C34</f>
        <v>26.5</v>
      </c>
      <c r="P34" s="19">
        <f t="shared" ref="P34" si="75">N34*$D34</f>
        <v>53</v>
      </c>
      <c r="Q34" s="39">
        <f>'Setoran 1'!G34</f>
        <v>0</v>
      </c>
      <c r="R34" s="19">
        <f t="shared" ref="R34" si="76">Q34*$C34</f>
        <v>0</v>
      </c>
      <c r="S34" s="19">
        <f t="shared" ref="S34" si="77">Q34*$D34</f>
        <v>0</v>
      </c>
      <c r="T34" s="39">
        <f>'Setoran 1'!H34</f>
        <v>0.88</v>
      </c>
      <c r="U34" s="19">
        <f t="shared" ref="U34" si="78">T34*$C34</f>
        <v>44</v>
      </c>
      <c r="V34" s="19">
        <f t="shared" ref="V34" si="79">T34*$D34</f>
        <v>88</v>
      </c>
      <c r="W34" s="39">
        <f>'Setoran 1'!I34</f>
        <v>7.22</v>
      </c>
      <c r="X34" s="19">
        <f t="shared" ref="X34" si="80">W34*$C34</f>
        <v>361</v>
      </c>
      <c r="Y34" s="19">
        <f t="shared" ref="Y34" si="81">W34*$D34</f>
        <v>722</v>
      </c>
      <c r="Z34" s="39">
        <f>'Setoran 1'!J34</f>
        <v>0</v>
      </c>
      <c r="AA34" s="19">
        <f t="shared" ref="AA34" si="82">Z34*$C34</f>
        <v>0</v>
      </c>
      <c r="AB34" s="19">
        <f t="shared" ref="AB34" si="83">Z34*$D34</f>
        <v>0</v>
      </c>
      <c r="AC34" s="39">
        <f>'Setoran 1'!K34</f>
        <v>2.93</v>
      </c>
      <c r="AD34" s="19">
        <f t="shared" ref="AD34" si="84">AC34*$C34</f>
        <v>146.5</v>
      </c>
      <c r="AE34" s="19">
        <f t="shared" ref="AE34" si="85">AC34*$D34</f>
        <v>293</v>
      </c>
      <c r="AF34" s="38">
        <f>'Setoran 1'!L34</f>
        <v>0.56999999999999995</v>
      </c>
      <c r="AG34" s="19">
        <f t="shared" ref="AG34" si="86">AF34*$C34</f>
        <v>28.499999999999996</v>
      </c>
      <c r="AH34" s="19">
        <f t="shared" ref="AH34" si="87">AF34*$D34</f>
        <v>56.999999999999993</v>
      </c>
      <c r="AI34" s="38">
        <f>'Setoran 1'!M34</f>
        <v>0</v>
      </c>
      <c r="AJ34" s="19">
        <f t="shared" ref="AJ34" si="88">AI34*$C34</f>
        <v>0</v>
      </c>
      <c r="AK34" s="19">
        <f t="shared" ref="AK34" si="89">AI34*$D34</f>
        <v>0</v>
      </c>
      <c r="AL34" s="38">
        <f>'Setoran 1'!N34</f>
        <v>0</v>
      </c>
      <c r="AM34" s="19">
        <f t="shared" ref="AM34" si="90">AL34*$C34</f>
        <v>0</v>
      </c>
      <c r="AN34" s="19">
        <f t="shared" ref="AN34" si="91">AL34*$D34</f>
        <v>0</v>
      </c>
      <c r="AO34" s="38">
        <f>'Setoran 1'!O34</f>
        <v>0</v>
      </c>
      <c r="AP34" s="19">
        <f t="shared" ref="AP34" si="92">AO34*$C34</f>
        <v>0</v>
      </c>
      <c r="AQ34" s="19">
        <f t="shared" ref="AQ34" si="93">AO34*$D34</f>
        <v>0</v>
      </c>
      <c r="AR34" s="38">
        <f>'Setoran 1'!P34</f>
        <v>0</v>
      </c>
      <c r="AS34" s="19">
        <f t="shared" ref="AS34:AS75" si="94">AR34*$C34</f>
        <v>0</v>
      </c>
      <c r="AT34" s="19">
        <f t="shared" ref="AT34:AT75" si="95">AR34*$D34</f>
        <v>0</v>
      </c>
      <c r="AU34" s="38">
        <f>'Setoran 1'!Q34</f>
        <v>0</v>
      </c>
      <c r="AV34" s="19">
        <f t="shared" ref="AV34:AV75" si="96">AU34*$C34</f>
        <v>0</v>
      </c>
      <c r="AW34" s="19">
        <f t="shared" ref="AW34:AW75" si="97">AU34*$D34</f>
        <v>0</v>
      </c>
      <c r="AX34" s="39">
        <f t="shared" ref="AX34:AX75" si="98">SUM(E34,H34,K34,N34,Q34,T34,W34,Z34,AC34,AF34,AI34,AL34,AO34,AR34,AU34)</f>
        <v>16.329999999999998</v>
      </c>
      <c r="AY34" s="38">
        <f t="shared" ref="AY34:AY75" si="99">SUM(F34,I34,L34,O34,R34,U34,X34,AA34,AD34,,AG34,AJ34,AM34,AP34,AS34,AV34)</f>
        <v>816.5</v>
      </c>
      <c r="AZ34" s="21">
        <f t="shared" ref="AZ34:AZ75" si="100">SUM(G34,J34,M34,P34,S34,V34,Y34,AB34,AE34,AH34,AK34,AN34,AQ34,AT34,AW34)</f>
        <v>1633</v>
      </c>
      <c r="BA34" s="22">
        <f t="shared" ref="BA34:BA75" si="101">AZ34-AY34</f>
        <v>816.5</v>
      </c>
    </row>
    <row r="35" spans="1:53" ht="14.5" customHeight="1" x14ac:dyDescent="0.2">
      <c r="A35" s="54">
        <v>4</v>
      </c>
      <c r="B35" s="53" t="s">
        <v>87</v>
      </c>
      <c r="C35" s="57">
        <f>'Data '!C32</f>
        <v>40</v>
      </c>
      <c r="D35" s="57">
        <f>'Data '!D32</f>
        <v>50</v>
      </c>
      <c r="E35" s="39">
        <f>'Setoran 1'!C35</f>
        <v>0</v>
      </c>
      <c r="F35" s="19">
        <f t="shared" si="0"/>
        <v>0</v>
      </c>
      <c r="G35" s="19">
        <f t="shared" si="1"/>
        <v>0</v>
      </c>
      <c r="H35" s="39">
        <f>'Setoran 1'!D35</f>
        <v>0</v>
      </c>
      <c r="I35" s="19">
        <f t="shared" si="2"/>
        <v>0</v>
      </c>
      <c r="J35" s="19">
        <f t="shared" si="3"/>
        <v>0</v>
      </c>
      <c r="K35" s="39">
        <f>'Setoran 1'!E35</f>
        <v>0</v>
      </c>
      <c r="L35" s="19">
        <f t="shared" si="4"/>
        <v>0</v>
      </c>
      <c r="M35" s="19">
        <f t="shared" si="5"/>
        <v>0</v>
      </c>
      <c r="N35" s="39">
        <f>'Setoran 1'!F35</f>
        <v>0</v>
      </c>
      <c r="O35" s="19">
        <f t="shared" si="6"/>
        <v>0</v>
      </c>
      <c r="P35" s="19">
        <f t="shared" si="7"/>
        <v>0</v>
      </c>
      <c r="Q35" s="39">
        <f>'Setoran 1'!G35</f>
        <v>0</v>
      </c>
      <c r="R35" s="19">
        <f t="shared" si="8"/>
        <v>0</v>
      </c>
      <c r="S35" s="19">
        <f t="shared" si="9"/>
        <v>0</v>
      </c>
      <c r="T35" s="39">
        <f>'Setoran 1'!H35</f>
        <v>0</v>
      </c>
      <c r="U35" s="19">
        <f t="shared" si="10"/>
        <v>0</v>
      </c>
      <c r="V35" s="19">
        <f t="shared" si="11"/>
        <v>0</v>
      </c>
      <c r="W35" s="39">
        <f>'Setoran 1'!I35</f>
        <v>0</v>
      </c>
      <c r="X35" s="19">
        <f t="shared" si="12"/>
        <v>0</v>
      </c>
      <c r="Y35" s="19">
        <f t="shared" si="13"/>
        <v>0</v>
      </c>
      <c r="Z35" s="39">
        <f>'Setoran 1'!J35</f>
        <v>0</v>
      </c>
      <c r="AA35" s="19">
        <f t="shared" si="14"/>
        <v>0</v>
      </c>
      <c r="AB35" s="19">
        <f t="shared" si="15"/>
        <v>0</v>
      </c>
      <c r="AC35" s="39">
        <f>'Setoran 1'!K35</f>
        <v>0</v>
      </c>
      <c r="AD35" s="19">
        <f t="shared" si="16"/>
        <v>0</v>
      </c>
      <c r="AE35" s="19">
        <f t="shared" si="17"/>
        <v>0</v>
      </c>
      <c r="AF35" s="38">
        <f>'Setoran 1'!L35</f>
        <v>0</v>
      </c>
      <c r="AG35" s="19">
        <f t="shared" ref="AG35:AG36" si="102">AF35*$C35</f>
        <v>0</v>
      </c>
      <c r="AH35" s="19">
        <f t="shared" ref="AH35:AH36" si="103">AF35*$D35</f>
        <v>0</v>
      </c>
      <c r="AI35" s="38">
        <f>'Setoran 1'!M35</f>
        <v>0</v>
      </c>
      <c r="AJ35" s="19">
        <f t="shared" ref="AJ35:AJ36" si="104">AI35*$C35</f>
        <v>0</v>
      </c>
      <c r="AK35" s="19">
        <f t="shared" ref="AK35:AK36" si="105">AI35*$D35</f>
        <v>0</v>
      </c>
      <c r="AL35" s="38">
        <f>'Setoran 1'!N35</f>
        <v>0</v>
      </c>
      <c r="AM35" s="19">
        <f t="shared" ref="AM35:AM36" si="106">AL35*$C35</f>
        <v>0</v>
      </c>
      <c r="AN35" s="19">
        <f t="shared" ref="AN35:AN68" si="107">AL35*$D35</f>
        <v>0</v>
      </c>
      <c r="AO35" s="38">
        <f>'Setoran 1'!O35</f>
        <v>0</v>
      </c>
      <c r="AP35" s="19">
        <f t="shared" ref="AP35:AP75" si="108">AO35*$C35</f>
        <v>0</v>
      </c>
      <c r="AQ35" s="19">
        <f t="shared" ref="AQ35:AQ75" si="109">AO35*$D35</f>
        <v>0</v>
      </c>
      <c r="AR35" s="38">
        <f>'Setoran 1'!P35</f>
        <v>0</v>
      </c>
      <c r="AS35" s="19">
        <f t="shared" si="94"/>
        <v>0</v>
      </c>
      <c r="AT35" s="19">
        <f t="shared" si="95"/>
        <v>0</v>
      </c>
      <c r="AU35" s="38">
        <f>'Setoran 1'!Q35</f>
        <v>0</v>
      </c>
      <c r="AV35" s="19">
        <f t="shared" si="96"/>
        <v>0</v>
      </c>
      <c r="AW35" s="19">
        <f t="shared" si="97"/>
        <v>0</v>
      </c>
      <c r="AX35" s="39">
        <f t="shared" si="98"/>
        <v>0</v>
      </c>
      <c r="AY35" s="38">
        <f t="shared" si="99"/>
        <v>0</v>
      </c>
      <c r="AZ35" s="21">
        <f t="shared" si="100"/>
        <v>0</v>
      </c>
      <c r="BA35" s="22">
        <f t="shared" si="101"/>
        <v>0</v>
      </c>
    </row>
    <row r="36" spans="1:53" ht="14.5" customHeight="1" x14ac:dyDescent="0.2">
      <c r="A36" s="54">
        <v>5</v>
      </c>
      <c r="B36" s="53" t="s">
        <v>88</v>
      </c>
      <c r="C36" s="57">
        <f>'Data '!C33</f>
        <v>40</v>
      </c>
      <c r="D36" s="57">
        <f>'Data '!D33</f>
        <v>50</v>
      </c>
      <c r="E36" s="39">
        <f>'Setoran 1'!C36</f>
        <v>0</v>
      </c>
      <c r="F36" s="19">
        <f t="shared" si="0"/>
        <v>0</v>
      </c>
      <c r="G36" s="19">
        <f t="shared" si="1"/>
        <v>0</v>
      </c>
      <c r="H36" s="39">
        <f>'Setoran 1'!D36</f>
        <v>0</v>
      </c>
      <c r="I36" s="19">
        <f t="shared" si="2"/>
        <v>0</v>
      </c>
      <c r="J36" s="19">
        <f t="shared" si="3"/>
        <v>0</v>
      </c>
      <c r="K36" s="39">
        <f>'Setoran 1'!E36</f>
        <v>0</v>
      </c>
      <c r="L36" s="19">
        <f t="shared" si="4"/>
        <v>0</v>
      </c>
      <c r="M36" s="19">
        <f t="shared" si="5"/>
        <v>0</v>
      </c>
      <c r="N36" s="39">
        <f>'Setoran 1'!F36</f>
        <v>0</v>
      </c>
      <c r="O36" s="19">
        <f t="shared" si="6"/>
        <v>0</v>
      </c>
      <c r="P36" s="19">
        <f t="shared" si="7"/>
        <v>0</v>
      </c>
      <c r="Q36" s="39">
        <f>'Setoran 1'!G36</f>
        <v>0</v>
      </c>
      <c r="R36" s="19">
        <f t="shared" si="8"/>
        <v>0</v>
      </c>
      <c r="S36" s="19">
        <f t="shared" si="9"/>
        <v>0</v>
      </c>
      <c r="T36" s="39">
        <f>'Setoran 1'!H36</f>
        <v>0</v>
      </c>
      <c r="U36" s="19">
        <f t="shared" si="10"/>
        <v>0</v>
      </c>
      <c r="V36" s="19">
        <f t="shared" si="11"/>
        <v>0</v>
      </c>
      <c r="W36" s="39">
        <f>'Setoran 1'!I36</f>
        <v>0</v>
      </c>
      <c r="X36" s="19">
        <f t="shared" si="12"/>
        <v>0</v>
      </c>
      <c r="Y36" s="19">
        <f t="shared" si="13"/>
        <v>0</v>
      </c>
      <c r="Z36" s="39">
        <f>'Setoran 1'!J36</f>
        <v>0</v>
      </c>
      <c r="AA36" s="19">
        <f t="shared" si="14"/>
        <v>0</v>
      </c>
      <c r="AB36" s="19">
        <f t="shared" si="15"/>
        <v>0</v>
      </c>
      <c r="AC36" s="39">
        <f>'Setoran 1'!K36</f>
        <v>0</v>
      </c>
      <c r="AD36" s="19">
        <f t="shared" si="16"/>
        <v>0</v>
      </c>
      <c r="AE36" s="19">
        <f t="shared" si="17"/>
        <v>0</v>
      </c>
      <c r="AF36" s="38">
        <f>'Setoran 1'!L36</f>
        <v>0</v>
      </c>
      <c r="AG36" s="19">
        <f t="shared" si="102"/>
        <v>0</v>
      </c>
      <c r="AH36" s="19">
        <f t="shared" si="103"/>
        <v>0</v>
      </c>
      <c r="AI36" s="38">
        <f>'Setoran 1'!M36</f>
        <v>0</v>
      </c>
      <c r="AJ36" s="19">
        <f t="shared" si="104"/>
        <v>0</v>
      </c>
      <c r="AK36" s="19">
        <f t="shared" si="105"/>
        <v>0</v>
      </c>
      <c r="AL36" s="38">
        <f>'Setoran 1'!N36</f>
        <v>0</v>
      </c>
      <c r="AM36" s="19">
        <f t="shared" si="106"/>
        <v>0</v>
      </c>
      <c r="AN36" s="19">
        <f t="shared" si="107"/>
        <v>0</v>
      </c>
      <c r="AO36" s="38">
        <f>'Setoran 1'!O36</f>
        <v>0</v>
      </c>
      <c r="AP36" s="19">
        <f t="shared" si="108"/>
        <v>0</v>
      </c>
      <c r="AQ36" s="19">
        <f t="shared" si="109"/>
        <v>0</v>
      </c>
      <c r="AR36" s="38">
        <f>'Setoran 1'!P36</f>
        <v>0</v>
      </c>
      <c r="AS36" s="19">
        <f t="shared" si="94"/>
        <v>0</v>
      </c>
      <c r="AT36" s="19">
        <f t="shared" si="95"/>
        <v>0</v>
      </c>
      <c r="AU36" s="38">
        <f>'Setoran 1'!Q36</f>
        <v>0</v>
      </c>
      <c r="AV36" s="19">
        <f t="shared" si="96"/>
        <v>0</v>
      </c>
      <c r="AW36" s="19">
        <f t="shared" si="97"/>
        <v>0</v>
      </c>
      <c r="AX36" s="39">
        <f t="shared" si="98"/>
        <v>0</v>
      </c>
      <c r="AY36" s="38">
        <f t="shared" si="99"/>
        <v>0</v>
      </c>
      <c r="AZ36" s="21">
        <f t="shared" si="100"/>
        <v>0</v>
      </c>
      <c r="BA36" s="22">
        <f t="shared" si="101"/>
        <v>0</v>
      </c>
    </row>
    <row r="37" spans="1:53" ht="14.5" customHeight="1" x14ac:dyDescent="0.2">
      <c r="A37" s="64">
        <v>6</v>
      </c>
      <c r="B37" s="65" t="s">
        <v>89</v>
      </c>
      <c r="C37" s="57">
        <f>'Data '!C34</f>
        <v>250</v>
      </c>
      <c r="D37" s="57">
        <f>'Data '!D34</f>
        <v>300</v>
      </c>
      <c r="E37" s="39">
        <f>'Setoran 1'!C37</f>
        <v>0</v>
      </c>
      <c r="F37" s="19">
        <f t="shared" ref="F37" si="110">E37*C37</f>
        <v>0</v>
      </c>
      <c r="G37" s="19">
        <f t="shared" ref="G37" si="111">E37*D37</f>
        <v>0</v>
      </c>
      <c r="H37" s="39">
        <f>'Setoran 1'!D37</f>
        <v>0</v>
      </c>
      <c r="I37" s="19">
        <f t="shared" ref="I37" si="112">H37*$C37</f>
        <v>0</v>
      </c>
      <c r="J37" s="19">
        <f t="shared" ref="J37" si="113">H37*$D37</f>
        <v>0</v>
      </c>
      <c r="K37" s="39">
        <f>'Setoran 1'!E37</f>
        <v>0</v>
      </c>
      <c r="L37" s="19">
        <f t="shared" ref="L37" si="114">K37*$C37</f>
        <v>0</v>
      </c>
      <c r="M37" s="19">
        <f t="shared" ref="M37" si="115">K37*$D37</f>
        <v>0</v>
      </c>
      <c r="N37" s="39">
        <f>'Setoran 1'!F37</f>
        <v>0.25</v>
      </c>
      <c r="O37" s="19">
        <f t="shared" ref="O37" si="116">N37*$C37</f>
        <v>62.5</v>
      </c>
      <c r="P37" s="19">
        <f t="shared" ref="P37" si="117">N37*$D37</f>
        <v>75</v>
      </c>
      <c r="Q37" s="39">
        <f>'Setoran 1'!G37</f>
        <v>0</v>
      </c>
      <c r="R37" s="19">
        <f t="shared" ref="R37" si="118">Q37*$C37</f>
        <v>0</v>
      </c>
      <c r="S37" s="19">
        <f t="shared" ref="S37" si="119">Q37*$D37</f>
        <v>0</v>
      </c>
      <c r="T37" s="39">
        <f>'Setoran 1'!H37</f>
        <v>0.77</v>
      </c>
      <c r="U37" s="19">
        <f t="shared" ref="U37" si="120">T37*$C37</f>
        <v>192.5</v>
      </c>
      <c r="V37" s="19">
        <f t="shared" ref="V37" si="121">T37*$D37</f>
        <v>231</v>
      </c>
      <c r="W37" s="39">
        <f>'Setoran 1'!I37</f>
        <v>0.57999999999999996</v>
      </c>
      <c r="X37" s="19">
        <f t="shared" ref="X37" si="122">W37*$C37</f>
        <v>145</v>
      </c>
      <c r="Y37" s="19">
        <f t="shared" ref="Y37" si="123">W37*$D37</f>
        <v>174</v>
      </c>
      <c r="Z37" s="39">
        <f>'Setoran 1'!J37</f>
        <v>0</v>
      </c>
      <c r="AA37" s="19">
        <f t="shared" ref="AA37" si="124">Z37*$C37</f>
        <v>0</v>
      </c>
      <c r="AB37" s="19">
        <f t="shared" ref="AB37" si="125">Z37*$D37</f>
        <v>0</v>
      </c>
      <c r="AC37" s="39">
        <f>'Setoran 1'!K37</f>
        <v>0.75</v>
      </c>
      <c r="AD37" s="19">
        <f t="shared" ref="AD37" si="126">AC37*$C37</f>
        <v>187.5</v>
      </c>
      <c r="AE37" s="19">
        <f t="shared" ref="AE37" si="127">AC37*$D37</f>
        <v>225</v>
      </c>
      <c r="AF37" s="38">
        <f>'Setoran 1'!L37</f>
        <v>0</v>
      </c>
      <c r="AG37" s="19">
        <f t="shared" ref="AG37" si="128">AF37*$C37</f>
        <v>0</v>
      </c>
      <c r="AH37" s="19">
        <f t="shared" ref="AH37" si="129">AF37*$D37</f>
        <v>0</v>
      </c>
      <c r="AI37" s="38">
        <f>'Setoran 1'!M37</f>
        <v>0</v>
      </c>
      <c r="AJ37" s="19">
        <f t="shared" ref="AJ37" si="130">AI37*$C37</f>
        <v>0</v>
      </c>
      <c r="AK37" s="19">
        <f t="shared" ref="AK37" si="131">AI37*$D37</f>
        <v>0</v>
      </c>
      <c r="AL37" s="38">
        <f>'Setoran 1'!N37</f>
        <v>0</v>
      </c>
      <c r="AM37" s="19">
        <f t="shared" ref="AM37" si="132">AL37*$C37</f>
        <v>0</v>
      </c>
      <c r="AN37" s="19">
        <f t="shared" ref="AN37" si="133">AL37*$D37</f>
        <v>0</v>
      </c>
      <c r="AO37" s="38">
        <f>'Setoran 1'!O37</f>
        <v>0</v>
      </c>
      <c r="AP37" s="19">
        <f t="shared" ref="AP37" si="134">AO37*$C37</f>
        <v>0</v>
      </c>
      <c r="AQ37" s="19">
        <f t="shared" ref="AQ37" si="135">AO37*$D37</f>
        <v>0</v>
      </c>
      <c r="AR37" s="38">
        <f>'Setoran 1'!P37</f>
        <v>0</v>
      </c>
      <c r="AS37" s="19">
        <f t="shared" ref="AS37" si="136">AR37*$C37</f>
        <v>0</v>
      </c>
      <c r="AT37" s="19">
        <f t="shared" ref="AT37" si="137">AR37*$D37</f>
        <v>0</v>
      </c>
      <c r="AU37" s="38">
        <f>'Setoran 1'!Q37</f>
        <v>0</v>
      </c>
      <c r="AV37" s="19">
        <f t="shared" ref="AV37" si="138">AU37*$C37</f>
        <v>0</v>
      </c>
      <c r="AW37" s="19">
        <f t="shared" ref="AW37" si="139">AU37*$D37</f>
        <v>0</v>
      </c>
      <c r="AX37" s="39">
        <f t="shared" ref="AX37" si="140">SUM(E37,H37,K37,N37,Q37,T37,W37,Z37,AC37,AF37,AI37,AL37,AO37,AR37,AU37)</f>
        <v>2.35</v>
      </c>
      <c r="AY37" s="38">
        <f t="shared" ref="AY37" si="141">SUM(F37,I37,L37,O37,R37,U37,X37,AA37,AD37,,AG37,AJ37,AM37,AP37,AS37,AV37)</f>
        <v>587.5</v>
      </c>
      <c r="AZ37" s="21">
        <f t="shared" ref="AZ37" si="142">SUM(G37,J37,M37,P37,S37,V37,Y37,AB37,AE37,AH37,AK37,AN37,AQ37,AT37,AW37)</f>
        <v>705</v>
      </c>
      <c r="BA37" s="22">
        <f t="shared" ref="BA37" si="143">AZ37-AY37</f>
        <v>117.5</v>
      </c>
    </row>
    <row r="38" spans="1:53" ht="14.5" customHeight="1" x14ac:dyDescent="0.2">
      <c r="A38" s="51" t="s">
        <v>26</v>
      </c>
      <c r="B38" s="5"/>
      <c r="C38" s="40"/>
      <c r="D38" s="42"/>
      <c r="E38" s="39"/>
      <c r="F38" s="19"/>
      <c r="G38" s="19"/>
      <c r="H38" s="39"/>
      <c r="I38" s="19"/>
      <c r="J38" s="19"/>
      <c r="K38" s="39"/>
      <c r="L38" s="19"/>
      <c r="M38" s="19"/>
      <c r="N38" s="39"/>
      <c r="O38" s="19"/>
      <c r="P38" s="19"/>
      <c r="Q38" s="39"/>
      <c r="R38" s="19"/>
      <c r="S38" s="19"/>
      <c r="T38" s="39"/>
      <c r="U38" s="19"/>
      <c r="V38" s="19"/>
      <c r="W38" s="39"/>
      <c r="X38" s="19"/>
      <c r="Y38" s="19"/>
      <c r="Z38" s="39"/>
      <c r="AA38" s="19"/>
      <c r="AB38" s="19"/>
      <c r="AC38" s="39"/>
      <c r="AD38" s="19"/>
      <c r="AE38" s="19"/>
      <c r="AF38" s="38"/>
      <c r="AG38" s="19"/>
      <c r="AH38" s="19"/>
      <c r="AI38" s="38"/>
      <c r="AJ38" s="19"/>
      <c r="AK38" s="19"/>
      <c r="AL38" s="38"/>
      <c r="AM38" s="19"/>
      <c r="AN38" s="19"/>
      <c r="AO38" s="38"/>
      <c r="AP38" s="19"/>
      <c r="AQ38" s="19"/>
      <c r="AR38" s="38"/>
      <c r="AS38" s="19"/>
      <c r="AT38" s="19"/>
      <c r="AU38" s="38"/>
      <c r="AV38" s="19"/>
      <c r="AW38" s="19"/>
      <c r="AX38" s="39"/>
      <c r="AY38" s="38"/>
      <c r="AZ38" s="21"/>
      <c r="BA38" s="22"/>
    </row>
    <row r="39" spans="1:53" ht="14.5" customHeight="1" x14ac:dyDescent="0.2">
      <c r="A39" s="26">
        <v>1</v>
      </c>
      <c r="B39" s="55" t="s">
        <v>92</v>
      </c>
      <c r="C39" s="57">
        <f>'Data '!C35</f>
        <v>75</v>
      </c>
      <c r="D39" s="57">
        <f>'Data '!D35</f>
        <v>100</v>
      </c>
      <c r="E39" s="39">
        <f>'Setoran 1'!C39</f>
        <v>7.6</v>
      </c>
      <c r="F39" s="19">
        <f t="shared" si="0"/>
        <v>570</v>
      </c>
      <c r="G39" s="19">
        <f t="shared" si="1"/>
        <v>760</v>
      </c>
      <c r="H39" s="39">
        <f>'Setoran 1'!D39</f>
        <v>0</v>
      </c>
      <c r="I39" s="19">
        <f t="shared" si="2"/>
        <v>0</v>
      </c>
      <c r="J39" s="19">
        <f t="shared" si="3"/>
        <v>0</v>
      </c>
      <c r="K39" s="39">
        <f>'Setoran 1'!E39</f>
        <v>0</v>
      </c>
      <c r="L39" s="19">
        <f t="shared" si="4"/>
        <v>0</v>
      </c>
      <c r="M39" s="19">
        <f t="shared" si="5"/>
        <v>0</v>
      </c>
      <c r="N39" s="39">
        <f>'Setoran 1'!F39</f>
        <v>0</v>
      </c>
      <c r="O39" s="19">
        <f t="shared" si="6"/>
        <v>0</v>
      </c>
      <c r="P39" s="19">
        <f t="shared" si="7"/>
        <v>0</v>
      </c>
      <c r="Q39" s="39">
        <f>'Setoran 1'!G39</f>
        <v>1.1000000000000001</v>
      </c>
      <c r="R39" s="19">
        <f t="shared" si="8"/>
        <v>82.5</v>
      </c>
      <c r="S39" s="19">
        <f t="shared" si="9"/>
        <v>110.00000000000001</v>
      </c>
      <c r="T39" s="39">
        <f>'Setoran 1'!H39</f>
        <v>1.37</v>
      </c>
      <c r="U39" s="19">
        <f t="shared" si="10"/>
        <v>102.75000000000001</v>
      </c>
      <c r="V39" s="19">
        <f t="shared" si="11"/>
        <v>137</v>
      </c>
      <c r="W39" s="39">
        <f>'Setoran 1'!I39</f>
        <v>0</v>
      </c>
      <c r="X39" s="19">
        <f t="shared" si="12"/>
        <v>0</v>
      </c>
      <c r="Y39" s="19">
        <f t="shared" si="13"/>
        <v>0</v>
      </c>
      <c r="Z39" s="39">
        <f>'Setoran 1'!J39</f>
        <v>0</v>
      </c>
      <c r="AA39" s="19">
        <f t="shared" si="14"/>
        <v>0</v>
      </c>
      <c r="AB39" s="19">
        <f t="shared" si="15"/>
        <v>0</v>
      </c>
      <c r="AC39" s="39">
        <f>'Setoran 1'!K39</f>
        <v>4.32</v>
      </c>
      <c r="AD39" s="19">
        <f t="shared" si="16"/>
        <v>324</v>
      </c>
      <c r="AE39" s="19">
        <f t="shared" si="17"/>
        <v>432</v>
      </c>
      <c r="AF39" s="38">
        <f>'Setoran 1'!L39</f>
        <v>0.22</v>
      </c>
      <c r="AG39" s="19">
        <f t="shared" ref="AG39:AG45" si="144">AF39*$C39</f>
        <v>16.5</v>
      </c>
      <c r="AH39" s="19">
        <f t="shared" ref="AH39:AH45" si="145">AF39*$D39</f>
        <v>22</v>
      </c>
      <c r="AI39" s="38">
        <f>'Setoran 1'!M39</f>
        <v>0</v>
      </c>
      <c r="AJ39" s="19">
        <f t="shared" ref="AJ39:AJ45" si="146">AI39*$C39</f>
        <v>0</v>
      </c>
      <c r="AK39" s="19">
        <f t="shared" ref="AK39:AK45" si="147">AI39*$D39</f>
        <v>0</v>
      </c>
      <c r="AL39" s="38">
        <f>'Setoran 1'!N39</f>
        <v>0</v>
      </c>
      <c r="AM39" s="19">
        <f t="shared" ref="AM39:AM45" si="148">AL39*$C39</f>
        <v>0</v>
      </c>
      <c r="AN39" s="19">
        <f t="shared" si="107"/>
        <v>0</v>
      </c>
      <c r="AO39" s="38">
        <f>'Setoran 1'!O39</f>
        <v>0</v>
      </c>
      <c r="AP39" s="19">
        <f t="shared" si="108"/>
        <v>0</v>
      </c>
      <c r="AQ39" s="19">
        <f t="shared" si="109"/>
        <v>0</v>
      </c>
      <c r="AR39" s="38">
        <f>'Setoran 1'!P39</f>
        <v>0</v>
      </c>
      <c r="AS39" s="19">
        <f t="shared" si="94"/>
        <v>0</v>
      </c>
      <c r="AT39" s="19">
        <f t="shared" si="95"/>
        <v>0</v>
      </c>
      <c r="AU39" s="38">
        <f>'Setoran 1'!Q39</f>
        <v>0</v>
      </c>
      <c r="AV39" s="19">
        <f t="shared" si="96"/>
        <v>0</v>
      </c>
      <c r="AW39" s="19">
        <f t="shared" si="97"/>
        <v>0</v>
      </c>
      <c r="AX39" s="39">
        <f t="shared" si="98"/>
        <v>14.610000000000001</v>
      </c>
      <c r="AY39" s="38">
        <f t="shared" si="99"/>
        <v>1095.75</v>
      </c>
      <c r="AZ39" s="21">
        <f t="shared" si="100"/>
        <v>1461</v>
      </c>
      <c r="BA39" s="22">
        <f t="shared" si="101"/>
        <v>365.25</v>
      </c>
    </row>
    <row r="40" spans="1:53" ht="14.5" customHeight="1" x14ac:dyDescent="0.2">
      <c r="A40" s="26">
        <v>2</v>
      </c>
      <c r="B40" s="53" t="s">
        <v>20</v>
      </c>
      <c r="C40" s="57">
        <f>'Data '!C36</f>
        <v>50</v>
      </c>
      <c r="D40" s="57">
        <f>'Data '!D36</f>
        <v>100</v>
      </c>
      <c r="E40" s="39">
        <f>'Setoran 1'!C40</f>
        <v>0</v>
      </c>
      <c r="F40" s="19">
        <f t="shared" si="0"/>
        <v>0</v>
      </c>
      <c r="G40" s="19">
        <f t="shared" si="1"/>
        <v>0</v>
      </c>
      <c r="H40" s="39">
        <f>'Setoran 1'!D40</f>
        <v>0</v>
      </c>
      <c r="I40" s="19">
        <f t="shared" si="2"/>
        <v>0</v>
      </c>
      <c r="J40" s="19">
        <f t="shared" si="3"/>
        <v>0</v>
      </c>
      <c r="K40" s="39">
        <f>'Setoran 1'!E40</f>
        <v>0</v>
      </c>
      <c r="L40" s="19">
        <f t="shared" si="4"/>
        <v>0</v>
      </c>
      <c r="M40" s="19">
        <f t="shared" si="5"/>
        <v>0</v>
      </c>
      <c r="N40" s="39">
        <f>'Setoran 1'!F40</f>
        <v>0</v>
      </c>
      <c r="O40" s="19">
        <f t="shared" si="6"/>
        <v>0</v>
      </c>
      <c r="P40" s="19">
        <f t="shared" si="7"/>
        <v>0</v>
      </c>
      <c r="Q40" s="39">
        <f>'Setoran 1'!G40</f>
        <v>0</v>
      </c>
      <c r="R40" s="19">
        <f t="shared" si="8"/>
        <v>0</v>
      </c>
      <c r="S40" s="19">
        <f t="shared" si="9"/>
        <v>0</v>
      </c>
      <c r="T40" s="39">
        <f>'Setoran 1'!H40</f>
        <v>0</v>
      </c>
      <c r="U40" s="19">
        <f t="shared" si="10"/>
        <v>0</v>
      </c>
      <c r="V40" s="19">
        <f t="shared" si="11"/>
        <v>0</v>
      </c>
      <c r="W40" s="39">
        <f>'Setoran 1'!I40</f>
        <v>0</v>
      </c>
      <c r="X40" s="19">
        <f t="shared" si="12"/>
        <v>0</v>
      </c>
      <c r="Y40" s="19">
        <f t="shared" si="13"/>
        <v>0</v>
      </c>
      <c r="Z40" s="39">
        <f>'Setoran 1'!J40</f>
        <v>0</v>
      </c>
      <c r="AA40" s="19">
        <f t="shared" si="14"/>
        <v>0</v>
      </c>
      <c r="AB40" s="19">
        <f t="shared" si="15"/>
        <v>0</v>
      </c>
      <c r="AC40" s="39">
        <f>'Setoran 1'!K40</f>
        <v>0</v>
      </c>
      <c r="AD40" s="19">
        <f t="shared" si="16"/>
        <v>0</v>
      </c>
      <c r="AE40" s="19">
        <f t="shared" si="17"/>
        <v>0</v>
      </c>
      <c r="AF40" s="38">
        <f>'Setoran 1'!L40</f>
        <v>0</v>
      </c>
      <c r="AG40" s="19">
        <f t="shared" si="144"/>
        <v>0</v>
      </c>
      <c r="AH40" s="19">
        <f t="shared" si="145"/>
        <v>0</v>
      </c>
      <c r="AI40" s="38">
        <f>'Setoran 1'!M40</f>
        <v>0</v>
      </c>
      <c r="AJ40" s="19">
        <f t="shared" si="146"/>
        <v>0</v>
      </c>
      <c r="AK40" s="19">
        <f t="shared" si="147"/>
        <v>0</v>
      </c>
      <c r="AL40" s="38">
        <f>'Setoran 1'!N40</f>
        <v>0</v>
      </c>
      <c r="AM40" s="19">
        <f t="shared" si="148"/>
        <v>0</v>
      </c>
      <c r="AN40" s="19">
        <f t="shared" si="107"/>
        <v>0</v>
      </c>
      <c r="AO40" s="38">
        <f>'Setoran 1'!O40</f>
        <v>0</v>
      </c>
      <c r="AP40" s="19">
        <f t="shared" si="108"/>
        <v>0</v>
      </c>
      <c r="AQ40" s="19">
        <f t="shared" si="109"/>
        <v>0</v>
      </c>
      <c r="AR40" s="38">
        <f>'Setoran 1'!P40</f>
        <v>0</v>
      </c>
      <c r="AS40" s="19">
        <f t="shared" si="94"/>
        <v>0</v>
      </c>
      <c r="AT40" s="19">
        <f t="shared" si="95"/>
        <v>0</v>
      </c>
      <c r="AU40" s="38">
        <f>'Setoran 1'!Q40</f>
        <v>0</v>
      </c>
      <c r="AV40" s="19">
        <f t="shared" si="96"/>
        <v>0</v>
      </c>
      <c r="AW40" s="19">
        <f t="shared" si="97"/>
        <v>0</v>
      </c>
      <c r="AX40" s="39">
        <f t="shared" si="98"/>
        <v>0</v>
      </c>
      <c r="AY40" s="38">
        <f t="shared" si="99"/>
        <v>0</v>
      </c>
      <c r="AZ40" s="21">
        <f t="shared" si="100"/>
        <v>0</v>
      </c>
      <c r="BA40" s="22">
        <f t="shared" si="101"/>
        <v>0</v>
      </c>
    </row>
    <row r="41" spans="1:53" ht="14.5" customHeight="1" x14ac:dyDescent="0.2">
      <c r="A41" s="70" t="s">
        <v>27</v>
      </c>
      <c r="B41" s="50"/>
      <c r="C41" s="56"/>
      <c r="D41" s="43"/>
      <c r="E41" s="39"/>
      <c r="F41" s="19"/>
      <c r="G41" s="19"/>
      <c r="H41" s="39"/>
      <c r="I41" s="19"/>
      <c r="J41" s="19"/>
      <c r="K41" s="39"/>
      <c r="L41" s="19"/>
      <c r="M41" s="19"/>
      <c r="N41" s="39"/>
      <c r="O41" s="19"/>
      <c r="P41" s="19"/>
      <c r="Q41" s="39"/>
      <c r="R41" s="19"/>
      <c r="S41" s="19"/>
      <c r="T41" s="39"/>
      <c r="U41" s="19"/>
      <c r="V41" s="19"/>
      <c r="W41" s="39"/>
      <c r="X41" s="19"/>
      <c r="Y41" s="19"/>
      <c r="Z41" s="39"/>
      <c r="AA41" s="19"/>
      <c r="AB41" s="19"/>
      <c r="AC41" s="39"/>
      <c r="AD41" s="19"/>
      <c r="AE41" s="19"/>
      <c r="AF41" s="38"/>
      <c r="AG41" s="19"/>
      <c r="AH41" s="19"/>
      <c r="AI41" s="38"/>
      <c r="AJ41" s="19"/>
      <c r="AK41" s="19"/>
      <c r="AL41" s="38"/>
      <c r="AM41" s="19"/>
      <c r="AN41" s="19"/>
      <c r="AO41" s="38"/>
      <c r="AP41" s="19"/>
      <c r="AQ41" s="19"/>
      <c r="AR41" s="38"/>
      <c r="AS41" s="19"/>
      <c r="AT41" s="19"/>
      <c r="AU41" s="38"/>
      <c r="AV41" s="19"/>
      <c r="AW41" s="19"/>
      <c r="AX41" s="39"/>
      <c r="AY41" s="38"/>
      <c r="AZ41" s="21"/>
      <c r="BA41" s="22"/>
    </row>
    <row r="42" spans="1:53" ht="14.5" customHeight="1" x14ac:dyDescent="0.2">
      <c r="A42" s="26">
        <v>1</v>
      </c>
      <c r="B42" s="53" t="s">
        <v>28</v>
      </c>
      <c r="C42" s="57">
        <f>'Data '!C38</f>
        <v>1100</v>
      </c>
      <c r="D42" s="57">
        <f>'Data '!D38</f>
        <v>1200</v>
      </c>
      <c r="E42" s="39">
        <f>'Setoran 1'!C42</f>
        <v>4.5999999999999996</v>
      </c>
      <c r="F42" s="19">
        <f t="shared" si="0"/>
        <v>5060</v>
      </c>
      <c r="G42" s="19">
        <f t="shared" si="1"/>
        <v>5520</v>
      </c>
      <c r="H42" s="39">
        <f>'Setoran 1'!D42</f>
        <v>0</v>
      </c>
      <c r="I42" s="19">
        <f t="shared" si="2"/>
        <v>0</v>
      </c>
      <c r="J42" s="19">
        <f t="shared" si="3"/>
        <v>0</v>
      </c>
      <c r="K42" s="39">
        <f>'Setoran 1'!E42</f>
        <v>25.6</v>
      </c>
      <c r="L42" s="19">
        <f t="shared" si="4"/>
        <v>28160</v>
      </c>
      <c r="M42" s="19">
        <f t="shared" si="5"/>
        <v>30720</v>
      </c>
      <c r="N42" s="39">
        <f>'Setoran 1'!F42</f>
        <v>0.7</v>
      </c>
      <c r="O42" s="19">
        <f t="shared" si="6"/>
        <v>770</v>
      </c>
      <c r="P42" s="19">
        <f t="shared" si="7"/>
        <v>840</v>
      </c>
      <c r="Q42" s="39">
        <f>'Setoran 1'!G42</f>
        <v>0</v>
      </c>
      <c r="R42" s="19">
        <f t="shared" si="8"/>
        <v>0</v>
      </c>
      <c r="S42" s="19">
        <f t="shared" si="9"/>
        <v>0</v>
      </c>
      <c r="T42" s="39">
        <f>'Setoran 1'!H42</f>
        <v>0</v>
      </c>
      <c r="U42" s="19">
        <f t="shared" si="10"/>
        <v>0</v>
      </c>
      <c r="V42" s="19">
        <f t="shared" si="11"/>
        <v>0</v>
      </c>
      <c r="W42" s="39">
        <f>'Setoran 1'!I42</f>
        <v>23.6</v>
      </c>
      <c r="X42" s="19">
        <f t="shared" si="12"/>
        <v>25960</v>
      </c>
      <c r="Y42" s="19">
        <f t="shared" si="13"/>
        <v>28320</v>
      </c>
      <c r="Z42" s="39">
        <f>'Setoran 1'!J42</f>
        <v>0</v>
      </c>
      <c r="AA42" s="19">
        <f t="shared" si="14"/>
        <v>0</v>
      </c>
      <c r="AB42" s="19">
        <f t="shared" si="15"/>
        <v>0</v>
      </c>
      <c r="AC42" s="39">
        <f>'Setoran 1'!K42</f>
        <v>0</v>
      </c>
      <c r="AD42" s="19">
        <f t="shared" si="16"/>
        <v>0</v>
      </c>
      <c r="AE42" s="19">
        <f t="shared" si="17"/>
        <v>0</v>
      </c>
      <c r="AF42" s="38">
        <f>'Setoran 1'!L42</f>
        <v>0</v>
      </c>
      <c r="AG42" s="19">
        <f t="shared" si="144"/>
        <v>0</v>
      </c>
      <c r="AH42" s="19">
        <f t="shared" si="145"/>
        <v>0</v>
      </c>
      <c r="AI42" s="38">
        <f>'Setoran 1'!M42</f>
        <v>0</v>
      </c>
      <c r="AJ42" s="19">
        <f t="shared" si="146"/>
        <v>0</v>
      </c>
      <c r="AK42" s="19">
        <f t="shared" si="147"/>
        <v>0</v>
      </c>
      <c r="AL42" s="38">
        <f>'Setoran 1'!N42</f>
        <v>0</v>
      </c>
      <c r="AM42" s="19">
        <f t="shared" si="148"/>
        <v>0</v>
      </c>
      <c r="AN42" s="19">
        <f t="shared" si="107"/>
        <v>0</v>
      </c>
      <c r="AO42" s="38">
        <f>'Setoran 1'!O42</f>
        <v>0</v>
      </c>
      <c r="AP42" s="19">
        <f t="shared" si="108"/>
        <v>0</v>
      </c>
      <c r="AQ42" s="19">
        <f t="shared" si="109"/>
        <v>0</v>
      </c>
      <c r="AR42" s="38">
        <f>'Setoran 1'!P42</f>
        <v>0</v>
      </c>
      <c r="AS42" s="19">
        <f t="shared" si="94"/>
        <v>0</v>
      </c>
      <c r="AT42" s="19">
        <f t="shared" si="95"/>
        <v>0</v>
      </c>
      <c r="AU42" s="38">
        <f>'Setoran 1'!Q42</f>
        <v>0</v>
      </c>
      <c r="AV42" s="19">
        <f t="shared" si="96"/>
        <v>0</v>
      </c>
      <c r="AW42" s="19">
        <f t="shared" si="97"/>
        <v>0</v>
      </c>
      <c r="AX42" s="39">
        <f t="shared" si="98"/>
        <v>54.5</v>
      </c>
      <c r="AY42" s="38">
        <f t="shared" si="99"/>
        <v>59950</v>
      </c>
      <c r="AZ42" s="21">
        <f t="shared" si="100"/>
        <v>65400</v>
      </c>
      <c r="BA42" s="22">
        <f t="shared" si="101"/>
        <v>5450</v>
      </c>
    </row>
    <row r="43" spans="1:53" ht="14.5" customHeight="1" x14ac:dyDescent="0.2">
      <c r="A43" s="23">
        <v>2</v>
      </c>
      <c r="B43" s="53" t="s">
        <v>29</v>
      </c>
      <c r="C43" s="57">
        <f>'Data '!C39</f>
        <v>1100</v>
      </c>
      <c r="D43" s="57">
        <f>'Data '!D39</f>
        <v>1200</v>
      </c>
      <c r="E43" s="39">
        <f>'Setoran 1'!C43</f>
        <v>0</v>
      </c>
      <c r="F43" s="19">
        <f t="shared" si="0"/>
        <v>0</v>
      </c>
      <c r="G43" s="19">
        <f t="shared" si="1"/>
        <v>0</v>
      </c>
      <c r="H43" s="39">
        <f>'Setoran 1'!D43</f>
        <v>0</v>
      </c>
      <c r="I43" s="19">
        <f t="shared" si="2"/>
        <v>0</v>
      </c>
      <c r="J43" s="19">
        <f t="shared" si="3"/>
        <v>0</v>
      </c>
      <c r="K43" s="39">
        <f>'Setoran 1'!E43</f>
        <v>0</v>
      </c>
      <c r="L43" s="19">
        <f t="shared" si="4"/>
        <v>0</v>
      </c>
      <c r="M43" s="19">
        <f t="shared" si="5"/>
        <v>0</v>
      </c>
      <c r="N43" s="39">
        <f>'Setoran 1'!F43</f>
        <v>0</v>
      </c>
      <c r="O43" s="19">
        <f t="shared" si="6"/>
        <v>0</v>
      </c>
      <c r="P43" s="19">
        <f t="shared" si="7"/>
        <v>0</v>
      </c>
      <c r="Q43" s="39">
        <f>'Setoran 1'!G43</f>
        <v>0</v>
      </c>
      <c r="R43" s="19">
        <f t="shared" si="8"/>
        <v>0</v>
      </c>
      <c r="S43" s="19">
        <f t="shared" si="9"/>
        <v>0</v>
      </c>
      <c r="T43" s="39">
        <f>'Setoran 1'!H43</f>
        <v>0</v>
      </c>
      <c r="U43" s="19">
        <f t="shared" si="10"/>
        <v>0</v>
      </c>
      <c r="V43" s="19">
        <f t="shared" si="11"/>
        <v>0</v>
      </c>
      <c r="W43" s="39">
        <f>'Setoran 1'!I43</f>
        <v>0</v>
      </c>
      <c r="X43" s="19">
        <f t="shared" si="12"/>
        <v>0</v>
      </c>
      <c r="Y43" s="19">
        <f t="shared" si="13"/>
        <v>0</v>
      </c>
      <c r="Z43" s="39">
        <f>'Setoran 1'!J43</f>
        <v>0</v>
      </c>
      <c r="AA43" s="19">
        <f t="shared" si="14"/>
        <v>0</v>
      </c>
      <c r="AB43" s="19">
        <f t="shared" si="15"/>
        <v>0</v>
      </c>
      <c r="AC43" s="39">
        <f>'Setoran 1'!K43</f>
        <v>0</v>
      </c>
      <c r="AD43" s="19">
        <f t="shared" si="16"/>
        <v>0</v>
      </c>
      <c r="AE43" s="19">
        <f t="shared" si="17"/>
        <v>0</v>
      </c>
      <c r="AF43" s="38">
        <f>'Setoran 1'!L43</f>
        <v>0</v>
      </c>
      <c r="AG43" s="19">
        <f t="shared" si="144"/>
        <v>0</v>
      </c>
      <c r="AH43" s="19">
        <f t="shared" si="145"/>
        <v>0</v>
      </c>
      <c r="AI43" s="38">
        <f>'Setoran 1'!M43</f>
        <v>0</v>
      </c>
      <c r="AJ43" s="19">
        <f t="shared" si="146"/>
        <v>0</v>
      </c>
      <c r="AK43" s="19">
        <f t="shared" si="147"/>
        <v>0</v>
      </c>
      <c r="AL43" s="38">
        <f>'Setoran 1'!N43</f>
        <v>0</v>
      </c>
      <c r="AM43" s="19">
        <f t="shared" si="148"/>
        <v>0</v>
      </c>
      <c r="AN43" s="19">
        <f t="shared" si="107"/>
        <v>0</v>
      </c>
      <c r="AO43" s="38">
        <f>'Setoran 1'!O43</f>
        <v>0</v>
      </c>
      <c r="AP43" s="19">
        <f t="shared" si="108"/>
        <v>0</v>
      </c>
      <c r="AQ43" s="19">
        <f t="shared" si="109"/>
        <v>0</v>
      </c>
      <c r="AR43" s="38">
        <f>'Setoran 1'!P43</f>
        <v>0</v>
      </c>
      <c r="AS43" s="19">
        <f t="shared" si="94"/>
        <v>0</v>
      </c>
      <c r="AT43" s="19">
        <f t="shared" si="95"/>
        <v>0</v>
      </c>
      <c r="AU43" s="38">
        <f>'Setoran 1'!Q43</f>
        <v>0</v>
      </c>
      <c r="AV43" s="19">
        <f t="shared" si="96"/>
        <v>0</v>
      </c>
      <c r="AW43" s="19">
        <f t="shared" si="97"/>
        <v>0</v>
      </c>
      <c r="AX43" s="39">
        <f t="shared" si="98"/>
        <v>0</v>
      </c>
      <c r="AY43" s="38">
        <f t="shared" si="99"/>
        <v>0</v>
      </c>
      <c r="AZ43" s="21">
        <f t="shared" si="100"/>
        <v>0</v>
      </c>
      <c r="BA43" s="22">
        <f t="shared" si="101"/>
        <v>0</v>
      </c>
    </row>
    <row r="44" spans="1:53" ht="14.5" customHeight="1" x14ac:dyDescent="0.2">
      <c r="A44" s="23">
        <v>3</v>
      </c>
      <c r="B44" s="53" t="s">
        <v>94</v>
      </c>
      <c r="C44" s="57">
        <f>'Data '!C40</f>
        <v>450</v>
      </c>
      <c r="D44" s="57">
        <f>'Data '!D40</f>
        <v>500</v>
      </c>
      <c r="E44" s="39">
        <f>'Setoran 1'!C44</f>
        <v>0</v>
      </c>
      <c r="F44" s="19">
        <f t="shared" si="0"/>
        <v>0</v>
      </c>
      <c r="G44" s="19">
        <f t="shared" si="1"/>
        <v>0</v>
      </c>
      <c r="H44" s="39">
        <f>'Setoran 1'!D44</f>
        <v>0</v>
      </c>
      <c r="I44" s="19">
        <f t="shared" si="2"/>
        <v>0</v>
      </c>
      <c r="J44" s="19">
        <f t="shared" si="3"/>
        <v>0</v>
      </c>
      <c r="K44" s="39">
        <f>'Setoran 1'!E44</f>
        <v>0</v>
      </c>
      <c r="L44" s="19">
        <f t="shared" si="4"/>
        <v>0</v>
      </c>
      <c r="M44" s="19">
        <f t="shared" si="5"/>
        <v>0</v>
      </c>
      <c r="N44" s="39">
        <f>'Setoran 1'!F44</f>
        <v>0</v>
      </c>
      <c r="O44" s="19">
        <f t="shared" si="6"/>
        <v>0</v>
      </c>
      <c r="P44" s="19">
        <f t="shared" si="7"/>
        <v>0</v>
      </c>
      <c r="Q44" s="39">
        <f>'Setoran 1'!G44</f>
        <v>0</v>
      </c>
      <c r="R44" s="19">
        <f t="shared" si="8"/>
        <v>0</v>
      </c>
      <c r="S44" s="19">
        <f t="shared" si="9"/>
        <v>0</v>
      </c>
      <c r="T44" s="39">
        <f>'Setoran 1'!H44</f>
        <v>0</v>
      </c>
      <c r="U44" s="19">
        <f t="shared" si="10"/>
        <v>0</v>
      </c>
      <c r="V44" s="19">
        <f t="shared" si="11"/>
        <v>0</v>
      </c>
      <c r="W44" s="39">
        <f>'Setoran 1'!I44</f>
        <v>0</v>
      </c>
      <c r="X44" s="19">
        <f t="shared" si="12"/>
        <v>0</v>
      </c>
      <c r="Y44" s="19">
        <f t="shared" si="13"/>
        <v>0</v>
      </c>
      <c r="Z44" s="39">
        <f>'Setoran 1'!J44</f>
        <v>0</v>
      </c>
      <c r="AA44" s="19">
        <f t="shared" si="14"/>
        <v>0</v>
      </c>
      <c r="AB44" s="19">
        <f t="shared" si="15"/>
        <v>0</v>
      </c>
      <c r="AC44" s="39">
        <f>'Setoran 1'!K44</f>
        <v>0</v>
      </c>
      <c r="AD44" s="19">
        <f t="shared" si="16"/>
        <v>0</v>
      </c>
      <c r="AE44" s="19">
        <f t="shared" si="17"/>
        <v>0</v>
      </c>
      <c r="AF44" s="38">
        <f>'Setoran 1'!L44</f>
        <v>0</v>
      </c>
      <c r="AG44" s="19">
        <f t="shared" si="144"/>
        <v>0</v>
      </c>
      <c r="AH44" s="19">
        <f t="shared" si="145"/>
        <v>0</v>
      </c>
      <c r="AI44" s="38">
        <f>'Setoran 1'!M44</f>
        <v>0</v>
      </c>
      <c r="AJ44" s="19">
        <f t="shared" si="146"/>
        <v>0</v>
      </c>
      <c r="AK44" s="19">
        <f t="shared" si="147"/>
        <v>0</v>
      </c>
      <c r="AL44" s="38">
        <f>'Setoran 1'!N44</f>
        <v>0</v>
      </c>
      <c r="AM44" s="19">
        <f t="shared" si="148"/>
        <v>0</v>
      </c>
      <c r="AN44" s="19">
        <f t="shared" si="107"/>
        <v>0</v>
      </c>
      <c r="AO44" s="38">
        <f>'Setoran 1'!O44</f>
        <v>0</v>
      </c>
      <c r="AP44" s="19">
        <f t="shared" si="108"/>
        <v>0</v>
      </c>
      <c r="AQ44" s="19">
        <f t="shared" si="109"/>
        <v>0</v>
      </c>
      <c r="AR44" s="38">
        <f>'Setoran 1'!P44</f>
        <v>0</v>
      </c>
      <c r="AS44" s="19">
        <f t="shared" si="94"/>
        <v>0</v>
      </c>
      <c r="AT44" s="19">
        <f t="shared" si="95"/>
        <v>0</v>
      </c>
      <c r="AU44" s="38">
        <f>'Setoran 1'!Q44</f>
        <v>0</v>
      </c>
      <c r="AV44" s="19">
        <f t="shared" si="96"/>
        <v>0</v>
      </c>
      <c r="AW44" s="19">
        <f t="shared" si="97"/>
        <v>0</v>
      </c>
      <c r="AX44" s="39">
        <f t="shared" si="98"/>
        <v>0</v>
      </c>
      <c r="AY44" s="38">
        <f t="shared" si="99"/>
        <v>0</v>
      </c>
      <c r="AZ44" s="21">
        <f t="shared" si="100"/>
        <v>0</v>
      </c>
      <c r="BA44" s="22">
        <f t="shared" si="101"/>
        <v>0</v>
      </c>
    </row>
    <row r="45" spans="1:53" ht="14.5" customHeight="1" x14ac:dyDescent="0.2">
      <c r="A45" s="23">
        <v>4</v>
      </c>
      <c r="B45" s="53" t="s">
        <v>30</v>
      </c>
      <c r="C45" s="57">
        <f>'Data '!C41</f>
        <v>400</v>
      </c>
      <c r="D45" s="57">
        <f>'Data '!D41</f>
        <v>500</v>
      </c>
      <c r="E45" s="39">
        <f>'Setoran 1'!C45</f>
        <v>0</v>
      </c>
      <c r="F45" s="19">
        <f t="shared" si="0"/>
        <v>0</v>
      </c>
      <c r="G45" s="19">
        <f t="shared" si="1"/>
        <v>0</v>
      </c>
      <c r="H45" s="39">
        <f>'Setoran 1'!D45</f>
        <v>0</v>
      </c>
      <c r="I45" s="19">
        <f t="shared" si="2"/>
        <v>0</v>
      </c>
      <c r="J45" s="19">
        <f t="shared" si="3"/>
        <v>0</v>
      </c>
      <c r="K45" s="39">
        <f>'Setoran 1'!E45</f>
        <v>0</v>
      </c>
      <c r="L45" s="19">
        <f t="shared" si="4"/>
        <v>0</v>
      </c>
      <c r="M45" s="19">
        <f t="shared" si="5"/>
        <v>0</v>
      </c>
      <c r="N45" s="39">
        <f>'Setoran 1'!F45</f>
        <v>0</v>
      </c>
      <c r="O45" s="19">
        <f t="shared" si="6"/>
        <v>0</v>
      </c>
      <c r="P45" s="19">
        <f t="shared" si="7"/>
        <v>0</v>
      </c>
      <c r="Q45" s="39">
        <f>'Setoran 1'!G45</f>
        <v>0</v>
      </c>
      <c r="R45" s="19">
        <f t="shared" si="8"/>
        <v>0</v>
      </c>
      <c r="S45" s="19">
        <f t="shared" si="9"/>
        <v>0</v>
      </c>
      <c r="T45" s="39">
        <f>'Setoran 1'!H45</f>
        <v>0</v>
      </c>
      <c r="U45" s="19">
        <f t="shared" si="10"/>
        <v>0</v>
      </c>
      <c r="V45" s="19">
        <f t="shared" si="11"/>
        <v>0</v>
      </c>
      <c r="W45" s="39">
        <f>'Setoran 1'!I45</f>
        <v>0</v>
      </c>
      <c r="X45" s="19">
        <f t="shared" si="12"/>
        <v>0</v>
      </c>
      <c r="Y45" s="19">
        <f t="shared" si="13"/>
        <v>0</v>
      </c>
      <c r="Z45" s="39">
        <f>'Setoran 1'!J45</f>
        <v>0</v>
      </c>
      <c r="AA45" s="19">
        <f t="shared" si="14"/>
        <v>0</v>
      </c>
      <c r="AB45" s="19">
        <f t="shared" si="15"/>
        <v>0</v>
      </c>
      <c r="AC45" s="39">
        <f>'Setoran 1'!K45</f>
        <v>0</v>
      </c>
      <c r="AD45" s="19">
        <f t="shared" si="16"/>
        <v>0</v>
      </c>
      <c r="AE45" s="19">
        <f t="shared" si="17"/>
        <v>0</v>
      </c>
      <c r="AF45" s="38">
        <f>'Setoran 1'!L45</f>
        <v>0</v>
      </c>
      <c r="AG45" s="19">
        <f t="shared" si="144"/>
        <v>0</v>
      </c>
      <c r="AH45" s="19">
        <f t="shared" si="145"/>
        <v>0</v>
      </c>
      <c r="AI45" s="38">
        <f>'Setoran 1'!M45</f>
        <v>0</v>
      </c>
      <c r="AJ45" s="19">
        <f t="shared" si="146"/>
        <v>0</v>
      </c>
      <c r="AK45" s="19">
        <f t="shared" si="147"/>
        <v>0</v>
      </c>
      <c r="AL45" s="38">
        <f>'Setoran 1'!N45</f>
        <v>0</v>
      </c>
      <c r="AM45" s="19">
        <f t="shared" si="148"/>
        <v>0</v>
      </c>
      <c r="AN45" s="19">
        <f t="shared" si="107"/>
        <v>0</v>
      </c>
      <c r="AO45" s="38">
        <f>'Setoran 1'!O45</f>
        <v>0</v>
      </c>
      <c r="AP45" s="19">
        <f t="shared" si="108"/>
        <v>0</v>
      </c>
      <c r="AQ45" s="19">
        <f t="shared" si="109"/>
        <v>0</v>
      </c>
      <c r="AR45" s="38">
        <f>'Setoran 1'!P45</f>
        <v>0</v>
      </c>
      <c r="AS45" s="19">
        <f t="shared" si="94"/>
        <v>0</v>
      </c>
      <c r="AT45" s="19">
        <f t="shared" si="95"/>
        <v>0</v>
      </c>
      <c r="AU45" s="38">
        <f>'Setoran 1'!Q45</f>
        <v>0</v>
      </c>
      <c r="AV45" s="19">
        <f t="shared" si="96"/>
        <v>0</v>
      </c>
      <c r="AW45" s="19">
        <f t="shared" si="97"/>
        <v>0</v>
      </c>
      <c r="AX45" s="39">
        <f t="shared" si="98"/>
        <v>0</v>
      </c>
      <c r="AY45" s="38">
        <f t="shared" si="99"/>
        <v>0</v>
      </c>
      <c r="AZ45" s="21">
        <f t="shared" si="100"/>
        <v>0</v>
      </c>
      <c r="BA45" s="22">
        <f t="shared" si="101"/>
        <v>0</v>
      </c>
    </row>
    <row r="46" spans="1:53" ht="14.5" customHeight="1" x14ac:dyDescent="0.2">
      <c r="A46" s="23">
        <v>5</v>
      </c>
      <c r="B46" s="53" t="s">
        <v>31</v>
      </c>
      <c r="C46" s="57">
        <v>1800</v>
      </c>
      <c r="D46" s="57">
        <f>'Data '!D42</f>
        <v>2000</v>
      </c>
      <c r="E46" s="39">
        <f>'Setoran 1'!C46</f>
        <v>0</v>
      </c>
      <c r="F46" s="19">
        <f t="shared" ref="F46" si="149">E46*C46</f>
        <v>0</v>
      </c>
      <c r="G46" s="19">
        <f t="shared" ref="G46" si="150">E46*D46</f>
        <v>0</v>
      </c>
      <c r="H46" s="39">
        <f>'Setoran 1'!D46</f>
        <v>0</v>
      </c>
      <c r="I46" s="19">
        <f t="shared" ref="I46" si="151">H46*$C46</f>
        <v>0</v>
      </c>
      <c r="J46" s="19">
        <f t="shared" ref="J46" si="152">H46*$D46</f>
        <v>0</v>
      </c>
      <c r="K46" s="39">
        <f>'Setoran 1'!E46</f>
        <v>0</v>
      </c>
      <c r="L46" s="19">
        <f t="shared" ref="L46" si="153">K46*$C46</f>
        <v>0</v>
      </c>
      <c r="M46" s="19">
        <f t="shared" ref="M46" si="154">K46*$D46</f>
        <v>0</v>
      </c>
      <c r="N46" s="39">
        <f>'Setoran 1'!F46</f>
        <v>0</v>
      </c>
      <c r="O46" s="19">
        <f t="shared" ref="O46" si="155">N46*$C46</f>
        <v>0</v>
      </c>
      <c r="P46" s="19">
        <f t="shared" ref="P46" si="156">N46*$D46</f>
        <v>0</v>
      </c>
      <c r="Q46" s="39">
        <f>'Setoran 1'!G46</f>
        <v>0</v>
      </c>
      <c r="R46" s="19">
        <f t="shared" ref="R46" si="157">Q46*$C46</f>
        <v>0</v>
      </c>
      <c r="S46" s="19">
        <f t="shared" ref="S46" si="158">Q46*$D46</f>
        <v>0</v>
      </c>
      <c r="T46" s="39">
        <f>'Setoran 1'!H46</f>
        <v>0</v>
      </c>
      <c r="U46" s="19">
        <f t="shared" ref="U46" si="159">T46*$C46</f>
        <v>0</v>
      </c>
      <c r="V46" s="19">
        <f t="shared" ref="V46" si="160">T46*$D46</f>
        <v>0</v>
      </c>
      <c r="W46" s="39">
        <f>'Setoran 1'!I46</f>
        <v>0</v>
      </c>
      <c r="X46" s="19">
        <f t="shared" ref="X46" si="161">W46*$C46</f>
        <v>0</v>
      </c>
      <c r="Y46" s="19">
        <f t="shared" ref="Y46" si="162">W46*$D46</f>
        <v>0</v>
      </c>
      <c r="Z46" s="39">
        <f>'Setoran 1'!J46</f>
        <v>0</v>
      </c>
      <c r="AA46" s="19">
        <f t="shared" ref="AA46" si="163">Z46*$C46</f>
        <v>0</v>
      </c>
      <c r="AB46" s="19">
        <f t="shared" ref="AB46" si="164">Z46*$D46</f>
        <v>0</v>
      </c>
      <c r="AC46" s="39">
        <f>'Setoran 1'!K46</f>
        <v>0</v>
      </c>
      <c r="AD46" s="19">
        <f t="shared" ref="AD46" si="165">AC46*$C46</f>
        <v>0</v>
      </c>
      <c r="AE46" s="19">
        <f t="shared" ref="AE46" si="166">AC46*$D46</f>
        <v>0</v>
      </c>
      <c r="AF46" s="38">
        <f>'Setoran 1'!L46</f>
        <v>0</v>
      </c>
      <c r="AG46" s="19">
        <f t="shared" ref="AG46" si="167">AF46*$C46</f>
        <v>0</v>
      </c>
      <c r="AH46" s="19">
        <f t="shared" ref="AH46" si="168">AF46*$D46</f>
        <v>0</v>
      </c>
      <c r="AI46" s="38">
        <f>'Setoran 1'!M46</f>
        <v>0</v>
      </c>
      <c r="AJ46" s="19">
        <f t="shared" ref="AJ46" si="169">AI46*$C46</f>
        <v>0</v>
      </c>
      <c r="AK46" s="19">
        <f t="shared" ref="AK46" si="170">AI46*$D46</f>
        <v>0</v>
      </c>
      <c r="AL46" s="38">
        <f>'Setoran 1'!N46</f>
        <v>0</v>
      </c>
      <c r="AM46" s="19">
        <f t="shared" ref="AM46" si="171">AL46*$C46</f>
        <v>0</v>
      </c>
      <c r="AN46" s="19">
        <f t="shared" ref="AN46" si="172">AL46*$D46</f>
        <v>0</v>
      </c>
      <c r="AO46" s="38">
        <f>'Setoran 1'!O46</f>
        <v>0</v>
      </c>
      <c r="AP46" s="19">
        <f t="shared" ref="AP46" si="173">AO46*$C46</f>
        <v>0</v>
      </c>
      <c r="AQ46" s="19">
        <f t="shared" ref="AQ46" si="174">AO46*$D46</f>
        <v>0</v>
      </c>
      <c r="AR46" s="38">
        <f>'Setoran 1'!P46</f>
        <v>0</v>
      </c>
      <c r="AS46" s="19">
        <f t="shared" ref="AS46" si="175">AR46*$C46</f>
        <v>0</v>
      </c>
      <c r="AT46" s="19">
        <f t="shared" ref="AT46" si="176">AR46*$D46</f>
        <v>0</v>
      </c>
      <c r="AU46" s="38">
        <f>'Setoran 1'!Q46</f>
        <v>0</v>
      </c>
      <c r="AV46" s="19">
        <f t="shared" ref="AV46" si="177">AU46*$C46</f>
        <v>0</v>
      </c>
      <c r="AW46" s="19">
        <f t="shared" ref="AW46" si="178">AU46*$D46</f>
        <v>0</v>
      </c>
      <c r="AX46" s="39">
        <f t="shared" si="98"/>
        <v>0</v>
      </c>
      <c r="AY46" s="38">
        <f t="shared" si="99"/>
        <v>0</v>
      </c>
      <c r="AZ46" s="21">
        <f t="shared" si="100"/>
        <v>0</v>
      </c>
      <c r="BA46" s="22">
        <f t="shared" si="101"/>
        <v>0</v>
      </c>
    </row>
    <row r="47" spans="1:53" ht="14.5" customHeight="1" x14ac:dyDescent="0.2">
      <c r="A47" s="23">
        <v>6</v>
      </c>
      <c r="B47" s="53" t="s">
        <v>32</v>
      </c>
      <c r="C47" s="57">
        <f>'Data '!C43</f>
        <v>75</v>
      </c>
      <c r="D47" s="57">
        <f>'Data '!D43</f>
        <v>100</v>
      </c>
      <c r="E47" s="39">
        <f>'Setoran 1'!C47</f>
        <v>2.23</v>
      </c>
      <c r="F47" s="19">
        <f t="shared" si="0"/>
        <v>167.25</v>
      </c>
      <c r="G47" s="19">
        <f t="shared" si="1"/>
        <v>223</v>
      </c>
      <c r="H47" s="39">
        <f>'Setoran 1'!D47</f>
        <v>1.69</v>
      </c>
      <c r="I47" s="19">
        <f t="shared" si="2"/>
        <v>126.75</v>
      </c>
      <c r="J47" s="19">
        <f t="shared" si="3"/>
        <v>169</v>
      </c>
      <c r="K47" s="39">
        <f>'Setoran 1'!E47</f>
        <v>0</v>
      </c>
      <c r="L47" s="19">
        <f t="shared" si="4"/>
        <v>0</v>
      </c>
      <c r="M47" s="19">
        <f t="shared" si="5"/>
        <v>0</v>
      </c>
      <c r="N47" s="39">
        <f>'Setoran 1'!F47</f>
        <v>0.75</v>
      </c>
      <c r="O47" s="19">
        <f t="shared" si="6"/>
        <v>56.25</v>
      </c>
      <c r="P47" s="19">
        <f t="shared" si="7"/>
        <v>75</v>
      </c>
      <c r="Q47" s="39">
        <f>'Setoran 1'!G47</f>
        <v>4.4000000000000004</v>
      </c>
      <c r="R47" s="19">
        <f t="shared" si="8"/>
        <v>330</v>
      </c>
      <c r="S47" s="19">
        <f t="shared" si="9"/>
        <v>440.00000000000006</v>
      </c>
      <c r="T47" s="39">
        <f>'Setoran 1'!H47</f>
        <v>1.74</v>
      </c>
      <c r="U47" s="19">
        <f t="shared" si="10"/>
        <v>130.5</v>
      </c>
      <c r="V47" s="19">
        <f t="shared" si="11"/>
        <v>174</v>
      </c>
      <c r="W47" s="39">
        <f>'Setoran 1'!I47</f>
        <v>2.48</v>
      </c>
      <c r="X47" s="19">
        <f t="shared" si="12"/>
        <v>186</v>
      </c>
      <c r="Y47" s="19">
        <f t="shared" si="13"/>
        <v>248</v>
      </c>
      <c r="Z47" s="39">
        <f>'Setoran 1'!J47</f>
        <v>0.11</v>
      </c>
      <c r="AA47" s="19">
        <f t="shared" si="14"/>
        <v>8.25</v>
      </c>
      <c r="AB47" s="19">
        <f t="shared" si="15"/>
        <v>11</v>
      </c>
      <c r="AC47" s="39">
        <f>'Setoran 1'!K47</f>
        <v>5.4399999999999995</v>
      </c>
      <c r="AD47" s="19">
        <f t="shared" si="16"/>
        <v>407.99999999999994</v>
      </c>
      <c r="AE47" s="19">
        <f t="shared" si="17"/>
        <v>544</v>
      </c>
      <c r="AF47" s="38">
        <f>'Setoran 1'!L47</f>
        <v>0.28000000000000003</v>
      </c>
      <c r="AG47" s="19">
        <f t="shared" ref="AG47:AG54" si="179">AF47*$C47</f>
        <v>21.000000000000004</v>
      </c>
      <c r="AH47" s="19">
        <f t="shared" ref="AH47:AH54" si="180">AF47*$D47</f>
        <v>28.000000000000004</v>
      </c>
      <c r="AI47" s="38">
        <f>'Setoran 1'!M47</f>
        <v>0</v>
      </c>
      <c r="AJ47" s="19">
        <f t="shared" ref="AJ47:AJ54" si="181">AI47*$C47</f>
        <v>0</v>
      </c>
      <c r="AK47" s="19">
        <f t="shared" ref="AK47:AK54" si="182">AI47*$D47</f>
        <v>0</v>
      </c>
      <c r="AL47" s="38">
        <f>'Setoran 1'!N47</f>
        <v>0</v>
      </c>
      <c r="AM47" s="19">
        <f t="shared" ref="AM47:AM54" si="183">AL47*$C47</f>
        <v>0</v>
      </c>
      <c r="AN47" s="19">
        <f t="shared" si="107"/>
        <v>0</v>
      </c>
      <c r="AO47" s="38">
        <f>'Setoran 1'!O47</f>
        <v>0</v>
      </c>
      <c r="AP47" s="19">
        <f t="shared" si="108"/>
        <v>0</v>
      </c>
      <c r="AQ47" s="19">
        <f t="shared" si="109"/>
        <v>0</v>
      </c>
      <c r="AR47" s="38">
        <f>'Setoran 1'!P47</f>
        <v>0</v>
      </c>
      <c r="AS47" s="19">
        <f t="shared" si="94"/>
        <v>0</v>
      </c>
      <c r="AT47" s="19">
        <f t="shared" si="95"/>
        <v>0</v>
      </c>
      <c r="AU47" s="38">
        <f>'Setoran 1'!Q47</f>
        <v>0</v>
      </c>
      <c r="AV47" s="19">
        <f t="shared" si="96"/>
        <v>0</v>
      </c>
      <c r="AW47" s="19">
        <f t="shared" si="97"/>
        <v>0</v>
      </c>
      <c r="AX47" s="39">
        <f t="shared" si="98"/>
        <v>19.12</v>
      </c>
      <c r="AY47" s="38">
        <f t="shared" si="99"/>
        <v>1434</v>
      </c>
      <c r="AZ47" s="21">
        <f t="shared" si="100"/>
        <v>1912</v>
      </c>
      <c r="BA47" s="22">
        <f t="shared" si="101"/>
        <v>478</v>
      </c>
    </row>
    <row r="48" spans="1:53" ht="14.5" customHeight="1" x14ac:dyDescent="0.2">
      <c r="A48" s="23">
        <v>7</v>
      </c>
      <c r="B48" s="53" t="s">
        <v>33</v>
      </c>
      <c r="C48" s="57">
        <f>'Data '!C44</f>
        <v>700</v>
      </c>
      <c r="D48" s="57">
        <f>'Data '!D44</f>
        <v>800</v>
      </c>
      <c r="E48" s="39">
        <f>'Setoran 1'!C48</f>
        <v>6.36</v>
      </c>
      <c r="F48" s="19">
        <f t="shared" si="0"/>
        <v>4452</v>
      </c>
      <c r="G48" s="19">
        <f t="shared" si="1"/>
        <v>5088</v>
      </c>
      <c r="H48" s="39">
        <f>'Setoran 1'!D48</f>
        <v>2.69</v>
      </c>
      <c r="I48" s="19">
        <f t="shared" si="2"/>
        <v>1883</v>
      </c>
      <c r="J48" s="19">
        <f t="shared" si="3"/>
        <v>2152</v>
      </c>
      <c r="K48" s="39">
        <f>'Setoran 1'!E48</f>
        <v>0</v>
      </c>
      <c r="L48" s="19">
        <f t="shared" si="4"/>
        <v>0</v>
      </c>
      <c r="M48" s="19">
        <f t="shared" si="5"/>
        <v>0</v>
      </c>
      <c r="N48" s="39">
        <f>'Setoran 1'!F48</f>
        <v>0</v>
      </c>
      <c r="O48" s="19">
        <f t="shared" si="6"/>
        <v>0</v>
      </c>
      <c r="P48" s="19">
        <f t="shared" si="7"/>
        <v>0</v>
      </c>
      <c r="Q48" s="39">
        <f>'Setoran 1'!G48</f>
        <v>5.85</v>
      </c>
      <c r="R48" s="19">
        <f t="shared" si="8"/>
        <v>4094.9999999999995</v>
      </c>
      <c r="S48" s="19">
        <f t="shared" si="9"/>
        <v>4680</v>
      </c>
      <c r="T48" s="39">
        <f>'Setoran 1'!H48</f>
        <v>1.4</v>
      </c>
      <c r="U48" s="19">
        <f t="shared" si="10"/>
        <v>979.99999999999989</v>
      </c>
      <c r="V48" s="19">
        <f t="shared" si="11"/>
        <v>1120</v>
      </c>
      <c r="W48" s="39">
        <f>'Setoran 1'!I48</f>
        <v>16.850000000000001</v>
      </c>
      <c r="X48" s="19">
        <f t="shared" si="12"/>
        <v>11795.000000000002</v>
      </c>
      <c r="Y48" s="19">
        <f t="shared" si="13"/>
        <v>13480.000000000002</v>
      </c>
      <c r="Z48" s="39">
        <f>'Setoran 1'!J48</f>
        <v>1.3</v>
      </c>
      <c r="AA48" s="19">
        <f t="shared" si="14"/>
        <v>910</v>
      </c>
      <c r="AB48" s="19">
        <f t="shared" si="15"/>
        <v>1040</v>
      </c>
      <c r="AC48" s="39">
        <f>'Setoran 1'!K48</f>
        <v>7.07</v>
      </c>
      <c r="AD48" s="19">
        <f t="shared" si="16"/>
        <v>4949</v>
      </c>
      <c r="AE48" s="19">
        <f t="shared" si="17"/>
        <v>5656</v>
      </c>
      <c r="AF48" s="38">
        <f>'Setoran 1'!L48</f>
        <v>1.82</v>
      </c>
      <c r="AG48" s="19">
        <f t="shared" si="179"/>
        <v>1274</v>
      </c>
      <c r="AH48" s="19">
        <f t="shared" si="180"/>
        <v>1456</v>
      </c>
      <c r="AI48" s="38">
        <f>'Setoran 1'!M48</f>
        <v>0</v>
      </c>
      <c r="AJ48" s="19">
        <f t="shared" si="181"/>
        <v>0</v>
      </c>
      <c r="AK48" s="19">
        <f t="shared" si="182"/>
        <v>0</v>
      </c>
      <c r="AL48" s="38">
        <f>'Setoran 1'!N48</f>
        <v>0</v>
      </c>
      <c r="AM48" s="19">
        <f t="shared" si="183"/>
        <v>0</v>
      </c>
      <c r="AN48" s="19">
        <f t="shared" si="107"/>
        <v>0</v>
      </c>
      <c r="AO48" s="38">
        <f>'Setoran 1'!O48</f>
        <v>0</v>
      </c>
      <c r="AP48" s="19">
        <f t="shared" si="108"/>
        <v>0</v>
      </c>
      <c r="AQ48" s="19">
        <f t="shared" si="109"/>
        <v>0</v>
      </c>
      <c r="AR48" s="38">
        <f>'Setoran 1'!P48</f>
        <v>0</v>
      </c>
      <c r="AS48" s="19">
        <f t="shared" si="94"/>
        <v>0</v>
      </c>
      <c r="AT48" s="19">
        <f t="shared" si="95"/>
        <v>0</v>
      </c>
      <c r="AU48" s="38">
        <f>'Setoran 1'!Q48</f>
        <v>0</v>
      </c>
      <c r="AV48" s="19">
        <f t="shared" si="96"/>
        <v>0</v>
      </c>
      <c r="AW48" s="19">
        <f t="shared" si="97"/>
        <v>0</v>
      </c>
      <c r="AX48" s="39">
        <f t="shared" si="98"/>
        <v>43.34</v>
      </c>
      <c r="AY48" s="38">
        <f t="shared" si="99"/>
        <v>30338</v>
      </c>
      <c r="AZ48" s="21">
        <f t="shared" si="100"/>
        <v>34672</v>
      </c>
      <c r="BA48" s="22">
        <f t="shared" si="101"/>
        <v>4334</v>
      </c>
    </row>
    <row r="49" spans="1:53" ht="14.5" customHeight="1" x14ac:dyDescent="0.2">
      <c r="A49" s="23">
        <v>8</v>
      </c>
      <c r="B49" s="53" t="s">
        <v>34</v>
      </c>
      <c r="C49" s="57">
        <f>'Data '!C45</f>
        <v>75</v>
      </c>
      <c r="D49" s="57">
        <f>'Data '!D45</f>
        <v>100</v>
      </c>
      <c r="E49" s="39">
        <f>'Setoran 1'!C49</f>
        <v>0</v>
      </c>
      <c r="F49" s="19">
        <f t="shared" si="0"/>
        <v>0</v>
      </c>
      <c r="G49" s="19">
        <f t="shared" si="1"/>
        <v>0</v>
      </c>
      <c r="H49" s="39">
        <f>'Setoran 1'!D49</f>
        <v>0</v>
      </c>
      <c r="I49" s="19">
        <f t="shared" si="2"/>
        <v>0</v>
      </c>
      <c r="J49" s="19">
        <f t="shared" si="3"/>
        <v>0</v>
      </c>
      <c r="K49" s="39">
        <f>'Setoran 1'!E49</f>
        <v>0</v>
      </c>
      <c r="L49" s="19">
        <f t="shared" si="4"/>
        <v>0</v>
      </c>
      <c r="M49" s="19">
        <f t="shared" si="5"/>
        <v>0</v>
      </c>
      <c r="N49" s="39">
        <f>'Setoran 1'!F49</f>
        <v>0.5</v>
      </c>
      <c r="O49" s="19">
        <f t="shared" si="6"/>
        <v>37.5</v>
      </c>
      <c r="P49" s="19">
        <f t="shared" si="7"/>
        <v>50</v>
      </c>
      <c r="Q49" s="39">
        <f>'Setoran 1'!G49</f>
        <v>1.8</v>
      </c>
      <c r="R49" s="19">
        <f t="shared" si="8"/>
        <v>135</v>
      </c>
      <c r="S49" s="19">
        <f t="shared" si="9"/>
        <v>180</v>
      </c>
      <c r="T49" s="39">
        <f>'Setoran 1'!H49</f>
        <v>0.72</v>
      </c>
      <c r="U49" s="19">
        <f t="shared" si="10"/>
        <v>54</v>
      </c>
      <c r="V49" s="19">
        <f t="shared" si="11"/>
        <v>72</v>
      </c>
      <c r="W49" s="39">
        <f>'Setoran 1'!I49</f>
        <v>3.32</v>
      </c>
      <c r="X49" s="19">
        <f t="shared" si="12"/>
        <v>249</v>
      </c>
      <c r="Y49" s="19">
        <f t="shared" si="13"/>
        <v>332</v>
      </c>
      <c r="Z49" s="39">
        <f>'Setoran 1'!J49</f>
        <v>0.11</v>
      </c>
      <c r="AA49" s="19">
        <f t="shared" si="14"/>
        <v>8.25</v>
      </c>
      <c r="AB49" s="19">
        <f t="shared" si="15"/>
        <v>11</v>
      </c>
      <c r="AC49" s="39">
        <f>'Setoran 1'!K49</f>
        <v>4</v>
      </c>
      <c r="AD49" s="19">
        <f t="shared" si="16"/>
        <v>300</v>
      </c>
      <c r="AE49" s="19">
        <f t="shared" si="17"/>
        <v>400</v>
      </c>
      <c r="AF49" s="38">
        <f>'Setoran 1'!L49</f>
        <v>0.23</v>
      </c>
      <c r="AG49" s="19">
        <f t="shared" si="179"/>
        <v>17.25</v>
      </c>
      <c r="AH49" s="19">
        <f t="shared" si="180"/>
        <v>23</v>
      </c>
      <c r="AI49" s="38">
        <f>'Setoran 1'!M49</f>
        <v>0</v>
      </c>
      <c r="AJ49" s="19">
        <f t="shared" si="181"/>
        <v>0</v>
      </c>
      <c r="AK49" s="19">
        <f t="shared" si="182"/>
        <v>0</v>
      </c>
      <c r="AL49" s="38">
        <f>'Setoran 1'!N49</f>
        <v>0</v>
      </c>
      <c r="AM49" s="19">
        <f t="shared" si="183"/>
        <v>0</v>
      </c>
      <c r="AN49" s="19">
        <f t="shared" si="107"/>
        <v>0</v>
      </c>
      <c r="AO49" s="38">
        <f>'Setoran 1'!O49</f>
        <v>0</v>
      </c>
      <c r="AP49" s="19">
        <f t="shared" si="108"/>
        <v>0</v>
      </c>
      <c r="AQ49" s="19">
        <f t="shared" si="109"/>
        <v>0</v>
      </c>
      <c r="AR49" s="38">
        <f>'Setoran 1'!P49</f>
        <v>0</v>
      </c>
      <c r="AS49" s="19">
        <f t="shared" si="94"/>
        <v>0</v>
      </c>
      <c r="AT49" s="19">
        <f t="shared" si="95"/>
        <v>0</v>
      </c>
      <c r="AU49" s="38">
        <f>'Setoran 1'!Q49</f>
        <v>0</v>
      </c>
      <c r="AV49" s="19">
        <f t="shared" si="96"/>
        <v>0</v>
      </c>
      <c r="AW49" s="19">
        <f t="shared" si="97"/>
        <v>0</v>
      </c>
      <c r="AX49" s="39">
        <f t="shared" si="98"/>
        <v>10.68</v>
      </c>
      <c r="AY49" s="38">
        <f t="shared" si="99"/>
        <v>801</v>
      </c>
      <c r="AZ49" s="21">
        <f t="shared" si="100"/>
        <v>1068</v>
      </c>
      <c r="BA49" s="22">
        <f t="shared" si="101"/>
        <v>267</v>
      </c>
    </row>
    <row r="50" spans="1:53" ht="14.5" customHeight="1" x14ac:dyDescent="0.2">
      <c r="A50" s="51" t="s">
        <v>35</v>
      </c>
      <c r="B50" s="5"/>
      <c r="C50" s="40"/>
      <c r="D50" s="42"/>
      <c r="E50" s="39"/>
      <c r="F50" s="19"/>
      <c r="G50" s="19"/>
      <c r="H50" s="39"/>
      <c r="I50" s="19"/>
      <c r="J50" s="19"/>
      <c r="K50" s="39"/>
      <c r="L50" s="19"/>
      <c r="M50" s="19"/>
      <c r="N50" s="39"/>
      <c r="O50" s="19"/>
      <c r="P50" s="19"/>
      <c r="Q50" s="39"/>
      <c r="R50" s="19"/>
      <c r="S50" s="19"/>
      <c r="T50" s="39"/>
      <c r="U50" s="19"/>
      <c r="V50" s="19"/>
      <c r="W50" s="39"/>
      <c r="X50" s="19"/>
      <c r="Y50" s="19"/>
      <c r="Z50" s="39"/>
      <c r="AA50" s="19"/>
      <c r="AB50" s="19"/>
      <c r="AC50" s="39"/>
      <c r="AD50" s="19"/>
      <c r="AE50" s="19"/>
      <c r="AF50" s="38"/>
      <c r="AG50" s="19"/>
      <c r="AH50" s="19"/>
      <c r="AI50" s="38"/>
      <c r="AJ50" s="19"/>
      <c r="AK50" s="19"/>
      <c r="AL50" s="38"/>
      <c r="AM50" s="19"/>
      <c r="AN50" s="19"/>
      <c r="AO50" s="38"/>
      <c r="AP50" s="19"/>
      <c r="AQ50" s="19"/>
      <c r="AR50" s="38"/>
      <c r="AS50" s="19"/>
      <c r="AT50" s="19"/>
      <c r="AU50" s="38"/>
      <c r="AV50" s="19"/>
      <c r="AW50" s="19"/>
      <c r="AX50" s="39"/>
      <c r="AY50" s="38"/>
      <c r="AZ50" s="21"/>
      <c r="BA50" s="22"/>
    </row>
    <row r="51" spans="1:53" ht="14.5" customHeight="1" x14ac:dyDescent="0.2">
      <c r="A51" s="71">
        <v>1</v>
      </c>
      <c r="B51" s="53" t="s">
        <v>36</v>
      </c>
      <c r="C51" s="57">
        <f>'Data '!C47</f>
        <v>1000</v>
      </c>
      <c r="D51" s="57">
        <f>'Data '!D47</f>
        <v>1500</v>
      </c>
      <c r="E51" s="39">
        <f>'Setoran 1'!C51</f>
        <v>1.1000000000000001</v>
      </c>
      <c r="F51" s="19">
        <f t="shared" si="0"/>
        <v>1100</v>
      </c>
      <c r="G51" s="19">
        <f t="shared" si="1"/>
        <v>1650.0000000000002</v>
      </c>
      <c r="H51" s="39">
        <f>'Setoran 1'!D51</f>
        <v>0.17</v>
      </c>
      <c r="I51" s="19">
        <f t="shared" si="2"/>
        <v>170</v>
      </c>
      <c r="J51" s="19">
        <f t="shared" si="3"/>
        <v>255.00000000000003</v>
      </c>
      <c r="K51" s="39">
        <f>'Setoran 1'!E51</f>
        <v>0</v>
      </c>
      <c r="L51" s="19">
        <f t="shared" si="4"/>
        <v>0</v>
      </c>
      <c r="M51" s="19">
        <f t="shared" si="5"/>
        <v>0</v>
      </c>
      <c r="N51" s="39">
        <f>'Setoran 1'!F51</f>
        <v>1.6</v>
      </c>
      <c r="O51" s="19">
        <f t="shared" si="6"/>
        <v>1600</v>
      </c>
      <c r="P51" s="19">
        <f t="shared" si="7"/>
        <v>2400</v>
      </c>
      <c r="Q51" s="39">
        <f>'Setoran 1'!G51</f>
        <v>0</v>
      </c>
      <c r="R51" s="19">
        <f t="shared" si="8"/>
        <v>0</v>
      </c>
      <c r="S51" s="19">
        <f t="shared" si="9"/>
        <v>0</v>
      </c>
      <c r="T51" s="39">
        <f>'Setoran 1'!H51</f>
        <v>0.28000000000000003</v>
      </c>
      <c r="U51" s="19">
        <f t="shared" si="10"/>
        <v>280</v>
      </c>
      <c r="V51" s="19">
        <f t="shared" si="11"/>
        <v>420.00000000000006</v>
      </c>
      <c r="W51" s="39">
        <f>'Setoran 1'!I51</f>
        <v>0.27</v>
      </c>
      <c r="X51" s="19">
        <f t="shared" si="12"/>
        <v>270</v>
      </c>
      <c r="Y51" s="19">
        <f t="shared" si="13"/>
        <v>405</v>
      </c>
      <c r="Z51" s="39">
        <f>'Setoran 1'!J51</f>
        <v>0</v>
      </c>
      <c r="AA51" s="19">
        <f t="shared" si="14"/>
        <v>0</v>
      </c>
      <c r="AB51" s="19">
        <f t="shared" si="15"/>
        <v>0</v>
      </c>
      <c r="AC51" s="39">
        <f>'Setoran 1'!K51</f>
        <v>1.1100000000000001</v>
      </c>
      <c r="AD51" s="19">
        <f t="shared" si="16"/>
        <v>1110</v>
      </c>
      <c r="AE51" s="19">
        <f t="shared" si="17"/>
        <v>1665.0000000000002</v>
      </c>
      <c r="AF51" s="38">
        <f>'Setoran 1'!L51</f>
        <v>0.57999999999999996</v>
      </c>
      <c r="AG51" s="19">
        <f t="shared" si="179"/>
        <v>580</v>
      </c>
      <c r="AH51" s="19">
        <f t="shared" si="180"/>
        <v>869.99999999999989</v>
      </c>
      <c r="AI51" s="38">
        <f>'Setoran 1'!M51</f>
        <v>0</v>
      </c>
      <c r="AJ51" s="19">
        <f t="shared" si="181"/>
        <v>0</v>
      </c>
      <c r="AK51" s="19">
        <f t="shared" si="182"/>
        <v>0</v>
      </c>
      <c r="AL51" s="38">
        <f>'Setoran 1'!N51</f>
        <v>0</v>
      </c>
      <c r="AM51" s="19">
        <f t="shared" si="183"/>
        <v>0</v>
      </c>
      <c r="AN51" s="19">
        <f t="shared" si="107"/>
        <v>0</v>
      </c>
      <c r="AO51" s="38">
        <f>'Setoran 1'!O51</f>
        <v>0</v>
      </c>
      <c r="AP51" s="19">
        <f t="shared" si="108"/>
        <v>0</v>
      </c>
      <c r="AQ51" s="19">
        <f t="shared" si="109"/>
        <v>0</v>
      </c>
      <c r="AR51" s="38">
        <f>'Setoran 1'!P51</f>
        <v>0</v>
      </c>
      <c r="AS51" s="19">
        <f t="shared" si="94"/>
        <v>0</v>
      </c>
      <c r="AT51" s="19">
        <f t="shared" si="95"/>
        <v>0</v>
      </c>
      <c r="AU51" s="38">
        <f>'Setoran 1'!Q51</f>
        <v>0</v>
      </c>
      <c r="AV51" s="19">
        <f t="shared" si="96"/>
        <v>0</v>
      </c>
      <c r="AW51" s="19">
        <f t="shared" si="97"/>
        <v>0</v>
      </c>
      <c r="AX51" s="39">
        <f t="shared" si="98"/>
        <v>5.1100000000000003</v>
      </c>
      <c r="AY51" s="38">
        <f t="shared" si="99"/>
        <v>5110</v>
      </c>
      <c r="AZ51" s="21">
        <f t="shared" si="100"/>
        <v>7665</v>
      </c>
      <c r="BA51" s="22">
        <f t="shared" si="101"/>
        <v>2555</v>
      </c>
    </row>
    <row r="52" spans="1:53" ht="14.5" customHeight="1" x14ac:dyDescent="0.2">
      <c r="A52" s="71">
        <v>2</v>
      </c>
      <c r="B52" s="53" t="s">
        <v>37</v>
      </c>
      <c r="C52" s="57">
        <f>'Data '!C48</f>
        <v>1100</v>
      </c>
      <c r="D52" s="57">
        <f>'Data '!D48</f>
        <v>1200</v>
      </c>
      <c r="E52" s="39">
        <f>'Setoran 1'!C52</f>
        <v>0</v>
      </c>
      <c r="F52" s="19">
        <f t="shared" si="0"/>
        <v>0</v>
      </c>
      <c r="G52" s="19">
        <f t="shared" si="1"/>
        <v>0</v>
      </c>
      <c r="H52" s="39">
        <f>'Setoran 1'!D52</f>
        <v>0</v>
      </c>
      <c r="I52" s="19">
        <f t="shared" si="2"/>
        <v>0</v>
      </c>
      <c r="J52" s="19">
        <f t="shared" si="3"/>
        <v>0</v>
      </c>
      <c r="K52" s="39">
        <f>'Setoran 1'!E52</f>
        <v>0</v>
      </c>
      <c r="L52" s="19">
        <f t="shared" si="4"/>
        <v>0</v>
      </c>
      <c r="M52" s="19">
        <f t="shared" si="5"/>
        <v>0</v>
      </c>
      <c r="N52" s="39">
        <f>'Setoran 1'!F52</f>
        <v>0.99</v>
      </c>
      <c r="O52" s="19">
        <f t="shared" si="6"/>
        <v>1089</v>
      </c>
      <c r="P52" s="19">
        <f t="shared" si="7"/>
        <v>1188</v>
      </c>
      <c r="Q52" s="39">
        <f>'Setoran 1'!G52</f>
        <v>0</v>
      </c>
      <c r="R52" s="19">
        <f t="shared" si="8"/>
        <v>0</v>
      </c>
      <c r="S52" s="19">
        <f t="shared" si="9"/>
        <v>0</v>
      </c>
      <c r="T52" s="39">
        <f>'Setoran 1'!H52</f>
        <v>2.8</v>
      </c>
      <c r="U52" s="19">
        <f t="shared" si="10"/>
        <v>3080</v>
      </c>
      <c r="V52" s="19">
        <f t="shared" si="11"/>
        <v>3360</v>
      </c>
      <c r="W52" s="39">
        <f>'Setoran 1'!I52</f>
        <v>0</v>
      </c>
      <c r="X52" s="19">
        <f t="shared" si="12"/>
        <v>0</v>
      </c>
      <c r="Y52" s="19">
        <f t="shared" si="13"/>
        <v>0</v>
      </c>
      <c r="Z52" s="39">
        <f>'Setoran 1'!J52</f>
        <v>0</v>
      </c>
      <c r="AA52" s="19">
        <f t="shared" si="14"/>
        <v>0</v>
      </c>
      <c r="AB52" s="19">
        <f t="shared" si="15"/>
        <v>0</v>
      </c>
      <c r="AC52" s="39">
        <f>'Setoran 1'!K52</f>
        <v>1.1000000000000001</v>
      </c>
      <c r="AD52" s="19">
        <f t="shared" si="16"/>
        <v>1210</v>
      </c>
      <c r="AE52" s="19">
        <f t="shared" si="17"/>
        <v>1320</v>
      </c>
      <c r="AF52" s="38">
        <f>'Setoran 1'!L52</f>
        <v>0</v>
      </c>
      <c r="AG52" s="19">
        <f t="shared" si="179"/>
        <v>0</v>
      </c>
      <c r="AH52" s="19">
        <f t="shared" si="180"/>
        <v>0</v>
      </c>
      <c r="AI52" s="38">
        <f>'Setoran 1'!M52</f>
        <v>0</v>
      </c>
      <c r="AJ52" s="19">
        <f t="shared" si="181"/>
        <v>0</v>
      </c>
      <c r="AK52" s="19">
        <f t="shared" si="182"/>
        <v>0</v>
      </c>
      <c r="AL52" s="38">
        <f>'Setoran 1'!N52</f>
        <v>0</v>
      </c>
      <c r="AM52" s="19">
        <f t="shared" si="183"/>
        <v>0</v>
      </c>
      <c r="AN52" s="19">
        <f t="shared" si="107"/>
        <v>0</v>
      </c>
      <c r="AO52" s="38">
        <f>'Setoran 1'!O52</f>
        <v>0</v>
      </c>
      <c r="AP52" s="19">
        <f t="shared" si="108"/>
        <v>0</v>
      </c>
      <c r="AQ52" s="19">
        <f t="shared" si="109"/>
        <v>0</v>
      </c>
      <c r="AR52" s="38">
        <f>'Setoran 1'!P52</f>
        <v>0</v>
      </c>
      <c r="AS52" s="19">
        <f t="shared" si="94"/>
        <v>0</v>
      </c>
      <c r="AT52" s="19">
        <f t="shared" si="95"/>
        <v>0</v>
      </c>
      <c r="AU52" s="38">
        <f>'Setoran 1'!Q52</f>
        <v>0</v>
      </c>
      <c r="AV52" s="19">
        <f t="shared" si="96"/>
        <v>0</v>
      </c>
      <c r="AW52" s="19">
        <f t="shared" si="97"/>
        <v>0</v>
      </c>
      <c r="AX52" s="39">
        <f t="shared" si="98"/>
        <v>4.8900000000000006</v>
      </c>
      <c r="AY52" s="38">
        <f t="shared" si="99"/>
        <v>5379</v>
      </c>
      <c r="AZ52" s="21">
        <f t="shared" si="100"/>
        <v>5868</v>
      </c>
      <c r="BA52" s="22">
        <f t="shared" si="101"/>
        <v>489</v>
      </c>
    </row>
    <row r="53" spans="1:53" ht="14.5" customHeight="1" x14ac:dyDescent="0.2">
      <c r="A53" s="71">
        <v>3</v>
      </c>
      <c r="B53" s="53" t="s">
        <v>38</v>
      </c>
      <c r="C53" s="57">
        <f>'Data '!C49</f>
        <v>2300</v>
      </c>
      <c r="D53" s="57">
        <f>'Data '!D49</f>
        <v>2500</v>
      </c>
      <c r="E53" s="39">
        <f>'Setoran 1'!C53</f>
        <v>0</v>
      </c>
      <c r="F53" s="19">
        <f t="shared" si="0"/>
        <v>0</v>
      </c>
      <c r="G53" s="19">
        <f t="shared" si="1"/>
        <v>0</v>
      </c>
      <c r="H53" s="39">
        <f>'Setoran 1'!D53</f>
        <v>0</v>
      </c>
      <c r="I53" s="19">
        <f t="shared" si="2"/>
        <v>0</v>
      </c>
      <c r="J53" s="19">
        <f t="shared" si="3"/>
        <v>0</v>
      </c>
      <c r="K53" s="39">
        <f>'Setoran 1'!E53</f>
        <v>0</v>
      </c>
      <c r="L53" s="19">
        <f t="shared" si="4"/>
        <v>0</v>
      </c>
      <c r="M53" s="19">
        <f t="shared" si="5"/>
        <v>0</v>
      </c>
      <c r="N53" s="39">
        <f>'Setoran 1'!F53</f>
        <v>0</v>
      </c>
      <c r="O53" s="19">
        <f t="shared" si="6"/>
        <v>0</v>
      </c>
      <c r="P53" s="19">
        <f t="shared" si="7"/>
        <v>0</v>
      </c>
      <c r="Q53" s="39">
        <f>'Setoran 1'!G53</f>
        <v>0</v>
      </c>
      <c r="R53" s="19">
        <f t="shared" si="8"/>
        <v>0</v>
      </c>
      <c r="S53" s="19">
        <f t="shared" si="9"/>
        <v>0</v>
      </c>
      <c r="T53" s="39">
        <f>'Setoran 1'!H53</f>
        <v>1.44</v>
      </c>
      <c r="U53" s="19">
        <f t="shared" si="10"/>
        <v>3312</v>
      </c>
      <c r="V53" s="19">
        <f t="shared" si="11"/>
        <v>3600</v>
      </c>
      <c r="W53" s="39">
        <f>'Setoran 1'!I53</f>
        <v>5.68</v>
      </c>
      <c r="X53" s="19">
        <f t="shared" si="12"/>
        <v>13064</v>
      </c>
      <c r="Y53" s="19">
        <f t="shared" si="13"/>
        <v>14200</v>
      </c>
      <c r="Z53" s="39">
        <f>'Setoran 1'!J53</f>
        <v>0</v>
      </c>
      <c r="AA53" s="19">
        <f t="shared" si="14"/>
        <v>0</v>
      </c>
      <c r="AB53" s="19">
        <f t="shared" si="15"/>
        <v>0</v>
      </c>
      <c r="AC53" s="39">
        <f>'Setoran 1'!K53</f>
        <v>0</v>
      </c>
      <c r="AD53" s="19">
        <f t="shared" si="16"/>
        <v>0</v>
      </c>
      <c r="AE53" s="19">
        <f t="shared" si="17"/>
        <v>0</v>
      </c>
      <c r="AF53" s="38">
        <f>'Setoran 1'!L53</f>
        <v>0</v>
      </c>
      <c r="AG53" s="19">
        <f t="shared" si="179"/>
        <v>0</v>
      </c>
      <c r="AH53" s="19">
        <f t="shared" si="180"/>
        <v>0</v>
      </c>
      <c r="AI53" s="38">
        <f>'Setoran 1'!M53</f>
        <v>0</v>
      </c>
      <c r="AJ53" s="19">
        <f t="shared" si="181"/>
        <v>0</v>
      </c>
      <c r="AK53" s="19">
        <f t="shared" si="182"/>
        <v>0</v>
      </c>
      <c r="AL53" s="38">
        <f>'Setoran 1'!N53</f>
        <v>0</v>
      </c>
      <c r="AM53" s="19">
        <f t="shared" si="183"/>
        <v>0</v>
      </c>
      <c r="AN53" s="19">
        <f t="shared" si="107"/>
        <v>0</v>
      </c>
      <c r="AO53" s="38">
        <f>'Setoran 1'!O53</f>
        <v>0</v>
      </c>
      <c r="AP53" s="19">
        <f t="shared" si="108"/>
        <v>0</v>
      </c>
      <c r="AQ53" s="19">
        <f t="shared" si="109"/>
        <v>0</v>
      </c>
      <c r="AR53" s="38">
        <f>'Setoran 1'!P53</f>
        <v>0</v>
      </c>
      <c r="AS53" s="19">
        <f t="shared" si="94"/>
        <v>0</v>
      </c>
      <c r="AT53" s="19">
        <f t="shared" si="95"/>
        <v>0</v>
      </c>
      <c r="AU53" s="38">
        <f>'Setoran 1'!Q53</f>
        <v>0</v>
      </c>
      <c r="AV53" s="19">
        <f t="shared" si="96"/>
        <v>0</v>
      </c>
      <c r="AW53" s="19">
        <f t="shared" si="97"/>
        <v>0</v>
      </c>
      <c r="AX53" s="39">
        <f t="shared" si="98"/>
        <v>7.1199999999999992</v>
      </c>
      <c r="AY53" s="38">
        <f t="shared" si="99"/>
        <v>16376</v>
      </c>
      <c r="AZ53" s="21">
        <f t="shared" si="100"/>
        <v>17800</v>
      </c>
      <c r="BA53" s="22">
        <f t="shared" si="101"/>
        <v>1424</v>
      </c>
    </row>
    <row r="54" spans="1:53" ht="14.5" customHeight="1" x14ac:dyDescent="0.2">
      <c r="A54" s="71">
        <v>4</v>
      </c>
      <c r="B54" s="53" t="s">
        <v>96</v>
      </c>
      <c r="C54" s="57">
        <f>'Data '!C50</f>
        <v>200</v>
      </c>
      <c r="D54" s="57">
        <f>'Data '!D50</f>
        <v>300</v>
      </c>
      <c r="E54" s="39">
        <f>'Setoran 1'!C54</f>
        <v>0</v>
      </c>
      <c r="F54" s="19">
        <f t="shared" si="0"/>
        <v>0</v>
      </c>
      <c r="G54" s="19">
        <f t="shared" si="1"/>
        <v>0</v>
      </c>
      <c r="H54" s="39">
        <f>'Setoran 1'!D54</f>
        <v>0</v>
      </c>
      <c r="I54" s="19">
        <f t="shared" si="2"/>
        <v>0</v>
      </c>
      <c r="J54" s="19">
        <f t="shared" si="3"/>
        <v>0</v>
      </c>
      <c r="K54" s="39">
        <f>'Setoran 1'!E54</f>
        <v>0</v>
      </c>
      <c r="L54" s="19">
        <f t="shared" si="4"/>
        <v>0</v>
      </c>
      <c r="M54" s="19">
        <f t="shared" si="5"/>
        <v>0</v>
      </c>
      <c r="N54" s="39">
        <f>'Setoran 1'!F54</f>
        <v>0</v>
      </c>
      <c r="O54" s="19">
        <f t="shared" si="6"/>
        <v>0</v>
      </c>
      <c r="P54" s="19">
        <f t="shared" si="7"/>
        <v>0</v>
      </c>
      <c r="Q54" s="39">
        <f>'Setoran 1'!G54</f>
        <v>0</v>
      </c>
      <c r="R54" s="19">
        <f t="shared" si="8"/>
        <v>0</v>
      </c>
      <c r="S54" s="19">
        <f t="shared" si="9"/>
        <v>0</v>
      </c>
      <c r="T54" s="39">
        <f>'Setoran 1'!H54</f>
        <v>0</v>
      </c>
      <c r="U54" s="19">
        <f t="shared" si="10"/>
        <v>0</v>
      </c>
      <c r="V54" s="19">
        <f t="shared" si="11"/>
        <v>0</v>
      </c>
      <c r="W54" s="39">
        <f>'Setoran 1'!I54</f>
        <v>0</v>
      </c>
      <c r="X54" s="19">
        <f t="shared" si="12"/>
        <v>0</v>
      </c>
      <c r="Y54" s="19">
        <f t="shared" si="13"/>
        <v>0</v>
      </c>
      <c r="Z54" s="39">
        <f>'Setoran 1'!J54</f>
        <v>0</v>
      </c>
      <c r="AA54" s="19">
        <f t="shared" si="14"/>
        <v>0</v>
      </c>
      <c r="AB54" s="19">
        <f t="shared" si="15"/>
        <v>0</v>
      </c>
      <c r="AC54" s="39">
        <f>'Setoran 1'!K54</f>
        <v>0</v>
      </c>
      <c r="AD54" s="19">
        <f t="shared" si="16"/>
        <v>0</v>
      </c>
      <c r="AE54" s="19">
        <f t="shared" si="17"/>
        <v>0</v>
      </c>
      <c r="AF54" s="38">
        <f>'Setoran 1'!L54</f>
        <v>0</v>
      </c>
      <c r="AG54" s="19">
        <f t="shared" si="179"/>
        <v>0</v>
      </c>
      <c r="AH54" s="19">
        <f t="shared" si="180"/>
        <v>0</v>
      </c>
      <c r="AI54" s="38">
        <f>'Setoran 1'!M54</f>
        <v>0</v>
      </c>
      <c r="AJ54" s="19">
        <f t="shared" si="181"/>
        <v>0</v>
      </c>
      <c r="AK54" s="19">
        <f t="shared" si="182"/>
        <v>0</v>
      </c>
      <c r="AL54" s="38">
        <f>'Setoran 1'!N54</f>
        <v>0</v>
      </c>
      <c r="AM54" s="19">
        <f t="shared" si="183"/>
        <v>0</v>
      </c>
      <c r="AN54" s="19">
        <f t="shared" si="107"/>
        <v>0</v>
      </c>
      <c r="AO54" s="38">
        <f>'Setoran 1'!O54</f>
        <v>0</v>
      </c>
      <c r="AP54" s="19">
        <f t="shared" si="108"/>
        <v>0</v>
      </c>
      <c r="AQ54" s="19">
        <f t="shared" si="109"/>
        <v>0</v>
      </c>
      <c r="AR54" s="38">
        <f>'Setoran 1'!P54</f>
        <v>0</v>
      </c>
      <c r="AS54" s="19">
        <f t="shared" si="94"/>
        <v>0</v>
      </c>
      <c r="AT54" s="19">
        <f t="shared" si="95"/>
        <v>0</v>
      </c>
      <c r="AU54" s="38">
        <f>'Setoran 1'!Q54</f>
        <v>0</v>
      </c>
      <c r="AV54" s="19">
        <f t="shared" si="96"/>
        <v>0</v>
      </c>
      <c r="AW54" s="19">
        <f t="shared" si="97"/>
        <v>0</v>
      </c>
      <c r="AX54" s="39">
        <f t="shared" si="98"/>
        <v>0</v>
      </c>
      <c r="AY54" s="38">
        <f t="shared" si="99"/>
        <v>0</v>
      </c>
      <c r="AZ54" s="21">
        <f t="shared" si="100"/>
        <v>0</v>
      </c>
      <c r="BA54" s="22">
        <f t="shared" si="101"/>
        <v>0</v>
      </c>
    </row>
    <row r="55" spans="1:53" ht="14.5" customHeight="1" x14ac:dyDescent="0.2">
      <c r="A55" s="71">
        <v>5</v>
      </c>
      <c r="B55" s="53" t="s">
        <v>97</v>
      </c>
      <c r="C55" s="57">
        <f>'Data '!C51</f>
        <v>4500</v>
      </c>
      <c r="D55" s="57">
        <f>'Data '!D51</f>
        <v>5000</v>
      </c>
      <c r="E55" s="39">
        <f>'Setoran 1'!C55</f>
        <v>0</v>
      </c>
      <c r="F55" s="19">
        <f t="shared" ref="F55" si="184">E55*C55</f>
        <v>0</v>
      </c>
      <c r="G55" s="19">
        <f t="shared" ref="G55" si="185">E55*D55</f>
        <v>0</v>
      </c>
      <c r="H55" s="39">
        <f>'Setoran 1'!D55</f>
        <v>0</v>
      </c>
      <c r="I55" s="19">
        <f t="shared" ref="I55" si="186">H55*$C55</f>
        <v>0</v>
      </c>
      <c r="J55" s="19">
        <f t="shared" ref="J55" si="187">H55*$D55</f>
        <v>0</v>
      </c>
      <c r="K55" s="39">
        <f>'Setoran 1'!E55</f>
        <v>0</v>
      </c>
      <c r="L55" s="19">
        <f t="shared" ref="L55" si="188">K55*$C55</f>
        <v>0</v>
      </c>
      <c r="M55" s="19">
        <f t="shared" ref="M55" si="189">K55*$D55</f>
        <v>0</v>
      </c>
      <c r="N55" s="39">
        <f>'Setoran 1'!F55</f>
        <v>0</v>
      </c>
      <c r="O55" s="19">
        <f t="shared" ref="O55" si="190">N55*$C55</f>
        <v>0</v>
      </c>
      <c r="P55" s="19">
        <f t="shared" ref="P55" si="191">N55*$D55</f>
        <v>0</v>
      </c>
      <c r="Q55" s="39">
        <f>'Setoran 1'!G55</f>
        <v>0</v>
      </c>
      <c r="R55" s="19">
        <f t="shared" ref="R55" si="192">Q55*$C55</f>
        <v>0</v>
      </c>
      <c r="S55" s="19">
        <f t="shared" ref="S55" si="193">Q55*$D55</f>
        <v>0</v>
      </c>
      <c r="T55" s="39">
        <f>'Setoran 1'!H55</f>
        <v>0.49</v>
      </c>
      <c r="U55" s="19">
        <f t="shared" ref="U55" si="194">T55*$C55</f>
        <v>2205</v>
      </c>
      <c r="V55" s="19">
        <f t="shared" ref="V55" si="195">T55*$D55</f>
        <v>2450</v>
      </c>
      <c r="W55" s="39">
        <f>'Setoran 1'!I55</f>
        <v>2.9</v>
      </c>
      <c r="X55" s="19">
        <f t="shared" ref="X55" si="196">W55*$C55</f>
        <v>13050</v>
      </c>
      <c r="Y55" s="19">
        <f t="shared" ref="Y55" si="197">W55*$D55</f>
        <v>14500</v>
      </c>
      <c r="Z55" s="39">
        <f>'Setoran 1'!J55</f>
        <v>0</v>
      </c>
      <c r="AA55" s="19">
        <f t="shared" ref="AA55" si="198">Z55*$C55</f>
        <v>0</v>
      </c>
      <c r="AB55" s="19">
        <f t="shared" ref="AB55" si="199">Z55*$D55</f>
        <v>0</v>
      </c>
      <c r="AC55" s="39">
        <f>'Setoran 1'!K55</f>
        <v>0</v>
      </c>
      <c r="AD55" s="19">
        <f t="shared" ref="AD55" si="200">AC55*$C55</f>
        <v>0</v>
      </c>
      <c r="AE55" s="19">
        <f t="shared" ref="AE55" si="201">AC55*$D55</f>
        <v>0</v>
      </c>
      <c r="AF55" s="38">
        <f>'Setoran 1'!L55</f>
        <v>0</v>
      </c>
      <c r="AG55" s="19">
        <f t="shared" ref="AG55" si="202">AF55*$C55</f>
        <v>0</v>
      </c>
      <c r="AH55" s="19">
        <f t="shared" ref="AH55" si="203">AF55*$D55</f>
        <v>0</v>
      </c>
      <c r="AI55" s="38">
        <f>'Setoran 1'!M55</f>
        <v>0</v>
      </c>
      <c r="AJ55" s="19">
        <f t="shared" ref="AJ55" si="204">AI55*$C55</f>
        <v>0</v>
      </c>
      <c r="AK55" s="19">
        <f t="shared" ref="AK55" si="205">AI55*$D55</f>
        <v>0</v>
      </c>
      <c r="AL55" s="38">
        <f>'Setoran 1'!N55</f>
        <v>0</v>
      </c>
      <c r="AM55" s="19">
        <f t="shared" ref="AM55" si="206">AL55*$C55</f>
        <v>0</v>
      </c>
      <c r="AN55" s="19">
        <f t="shared" ref="AN55" si="207">AL55*$D55</f>
        <v>0</v>
      </c>
      <c r="AO55" s="38">
        <f>'Setoran 1'!O55</f>
        <v>0</v>
      </c>
      <c r="AP55" s="19">
        <f t="shared" ref="AP55" si="208">AO55*$C55</f>
        <v>0</v>
      </c>
      <c r="AQ55" s="19">
        <f t="shared" ref="AQ55" si="209">AO55*$D55</f>
        <v>0</v>
      </c>
      <c r="AR55" s="38">
        <f>'Setoran 1'!P55</f>
        <v>0</v>
      </c>
      <c r="AS55" s="19">
        <f t="shared" ref="AS55" si="210">AR55*$C55</f>
        <v>0</v>
      </c>
      <c r="AT55" s="19">
        <f t="shared" ref="AT55" si="211">AR55*$D55</f>
        <v>0</v>
      </c>
      <c r="AU55" s="38">
        <f>'Setoran 1'!Q55</f>
        <v>0</v>
      </c>
      <c r="AV55" s="19">
        <f t="shared" si="96"/>
        <v>0</v>
      </c>
      <c r="AW55" s="19">
        <f t="shared" si="97"/>
        <v>0</v>
      </c>
      <c r="AX55" s="39">
        <f t="shared" si="98"/>
        <v>3.3899999999999997</v>
      </c>
      <c r="AY55" s="38">
        <f t="shared" si="99"/>
        <v>15255</v>
      </c>
      <c r="AZ55" s="21">
        <f t="shared" si="100"/>
        <v>16950</v>
      </c>
      <c r="BA55" s="22">
        <f t="shared" si="101"/>
        <v>1695</v>
      </c>
    </row>
    <row r="56" spans="1:53" ht="14.5" customHeight="1" x14ac:dyDescent="0.2">
      <c r="A56" s="71">
        <v>6</v>
      </c>
      <c r="B56" s="53" t="s">
        <v>39</v>
      </c>
      <c r="C56" s="57">
        <f>'Data '!C52</f>
        <v>6500</v>
      </c>
      <c r="D56" s="57">
        <f>'Data '!D52</f>
        <v>7000</v>
      </c>
      <c r="E56" s="39">
        <f>'Setoran 1'!C56</f>
        <v>0</v>
      </c>
      <c r="F56" s="19">
        <f t="shared" si="0"/>
        <v>0</v>
      </c>
      <c r="G56" s="19">
        <f t="shared" si="1"/>
        <v>0</v>
      </c>
      <c r="H56" s="39">
        <f>'Setoran 1'!D56</f>
        <v>0</v>
      </c>
      <c r="I56" s="19">
        <f t="shared" si="2"/>
        <v>0</v>
      </c>
      <c r="J56" s="19">
        <f t="shared" si="3"/>
        <v>0</v>
      </c>
      <c r="K56" s="39">
        <f>'Setoran 1'!E56</f>
        <v>0</v>
      </c>
      <c r="L56" s="19">
        <f t="shared" si="4"/>
        <v>0</v>
      </c>
      <c r="M56" s="19">
        <f t="shared" si="5"/>
        <v>0</v>
      </c>
      <c r="N56" s="39">
        <f>'Setoran 1'!F56</f>
        <v>0</v>
      </c>
      <c r="O56" s="19">
        <f t="shared" si="6"/>
        <v>0</v>
      </c>
      <c r="P56" s="19">
        <f t="shared" si="7"/>
        <v>0</v>
      </c>
      <c r="Q56" s="39">
        <f>'Setoran 1'!G56</f>
        <v>0</v>
      </c>
      <c r="R56" s="19">
        <f t="shared" si="8"/>
        <v>0</v>
      </c>
      <c r="S56" s="19">
        <f t="shared" si="9"/>
        <v>0</v>
      </c>
      <c r="T56" s="39">
        <f>'Setoran 1'!H56</f>
        <v>0</v>
      </c>
      <c r="U56" s="19">
        <f t="shared" si="10"/>
        <v>0</v>
      </c>
      <c r="V56" s="19">
        <f t="shared" si="11"/>
        <v>0</v>
      </c>
      <c r="W56" s="39">
        <f>'Setoran 1'!I56</f>
        <v>0</v>
      </c>
      <c r="X56" s="19">
        <f t="shared" si="12"/>
        <v>0</v>
      </c>
      <c r="Y56" s="19">
        <f t="shared" si="13"/>
        <v>0</v>
      </c>
      <c r="Z56" s="39">
        <f>'Setoran 1'!J56</f>
        <v>0</v>
      </c>
      <c r="AA56" s="19">
        <f t="shared" si="14"/>
        <v>0</v>
      </c>
      <c r="AB56" s="19">
        <f t="shared" si="15"/>
        <v>0</v>
      </c>
      <c r="AC56" s="39">
        <f>'Setoran 1'!K56</f>
        <v>0</v>
      </c>
      <c r="AD56" s="19">
        <f t="shared" si="16"/>
        <v>0</v>
      </c>
      <c r="AE56" s="19">
        <f t="shared" si="17"/>
        <v>0</v>
      </c>
      <c r="AF56" s="38">
        <f>'Setoran 1'!L56</f>
        <v>0</v>
      </c>
      <c r="AG56" s="19">
        <f t="shared" ref="AG56:AG58" si="212">AF56*$C56</f>
        <v>0</v>
      </c>
      <c r="AH56" s="19">
        <f t="shared" ref="AH56:AH58" si="213">AF56*$D56</f>
        <v>0</v>
      </c>
      <c r="AI56" s="38">
        <f>'Setoran 1'!M56</f>
        <v>0</v>
      </c>
      <c r="AJ56" s="19">
        <f t="shared" ref="AJ56:AJ58" si="214">AI56*$C56</f>
        <v>0</v>
      </c>
      <c r="AK56" s="19">
        <f t="shared" ref="AK56:AK58" si="215">AI56*$D56</f>
        <v>0</v>
      </c>
      <c r="AL56" s="38">
        <f>'Setoran 1'!N56</f>
        <v>0</v>
      </c>
      <c r="AM56" s="19">
        <f t="shared" ref="AM56:AM58" si="216">AL56*$C56</f>
        <v>0</v>
      </c>
      <c r="AN56" s="19">
        <f t="shared" si="107"/>
        <v>0</v>
      </c>
      <c r="AO56" s="38">
        <f>'Setoran 1'!O56</f>
        <v>0</v>
      </c>
      <c r="AP56" s="19">
        <f t="shared" si="108"/>
        <v>0</v>
      </c>
      <c r="AQ56" s="19">
        <f t="shared" si="109"/>
        <v>0</v>
      </c>
      <c r="AR56" s="38">
        <f>'Setoran 1'!P56</f>
        <v>0</v>
      </c>
      <c r="AS56" s="19">
        <f t="shared" si="94"/>
        <v>0</v>
      </c>
      <c r="AT56" s="19">
        <f t="shared" si="95"/>
        <v>0</v>
      </c>
      <c r="AU56" s="38">
        <f>'Setoran 1'!Q56</f>
        <v>0</v>
      </c>
      <c r="AV56" s="19">
        <f t="shared" si="96"/>
        <v>0</v>
      </c>
      <c r="AW56" s="19">
        <f t="shared" si="97"/>
        <v>0</v>
      </c>
      <c r="AX56" s="39">
        <f t="shared" si="98"/>
        <v>0</v>
      </c>
      <c r="AY56" s="38">
        <f t="shared" si="99"/>
        <v>0</v>
      </c>
      <c r="AZ56" s="21">
        <f t="shared" si="100"/>
        <v>0</v>
      </c>
      <c r="BA56" s="22">
        <f t="shared" si="101"/>
        <v>0</v>
      </c>
    </row>
    <row r="57" spans="1:53" ht="14.5" customHeight="1" x14ac:dyDescent="0.2">
      <c r="A57" s="71">
        <v>7</v>
      </c>
      <c r="B57" s="53" t="s">
        <v>40</v>
      </c>
      <c r="C57" s="57">
        <f>'Data '!C53</f>
        <v>28000</v>
      </c>
      <c r="D57" s="57">
        <f>'Data '!D53</f>
        <v>30000</v>
      </c>
      <c r="E57" s="39">
        <f>'Setoran 1'!C57</f>
        <v>0</v>
      </c>
      <c r="F57" s="19">
        <f t="shared" si="0"/>
        <v>0</v>
      </c>
      <c r="G57" s="19">
        <f t="shared" si="1"/>
        <v>0</v>
      </c>
      <c r="H57" s="39">
        <f>'Setoran 1'!D57</f>
        <v>0</v>
      </c>
      <c r="I57" s="19">
        <f t="shared" si="2"/>
        <v>0</v>
      </c>
      <c r="J57" s="19">
        <f t="shared" si="3"/>
        <v>0</v>
      </c>
      <c r="K57" s="39">
        <f>'Setoran 1'!E57</f>
        <v>0</v>
      </c>
      <c r="L57" s="19">
        <f t="shared" si="4"/>
        <v>0</v>
      </c>
      <c r="M57" s="19">
        <f t="shared" si="5"/>
        <v>0</v>
      </c>
      <c r="N57" s="39">
        <f>'Setoran 1'!F57</f>
        <v>0</v>
      </c>
      <c r="O57" s="19">
        <f t="shared" si="6"/>
        <v>0</v>
      </c>
      <c r="P57" s="19">
        <f t="shared" si="7"/>
        <v>0</v>
      </c>
      <c r="Q57" s="39">
        <f>'Setoran 1'!G57</f>
        <v>0</v>
      </c>
      <c r="R57" s="19">
        <f t="shared" si="8"/>
        <v>0</v>
      </c>
      <c r="S57" s="19">
        <f t="shared" si="9"/>
        <v>0</v>
      </c>
      <c r="T57" s="39">
        <f>'Setoran 1'!H57</f>
        <v>0</v>
      </c>
      <c r="U57" s="19">
        <f t="shared" si="10"/>
        <v>0</v>
      </c>
      <c r="V57" s="19">
        <f t="shared" si="11"/>
        <v>0</v>
      </c>
      <c r="W57" s="39">
        <f>'Setoran 1'!I57</f>
        <v>0</v>
      </c>
      <c r="X57" s="19">
        <f t="shared" si="12"/>
        <v>0</v>
      </c>
      <c r="Y57" s="19">
        <f t="shared" si="13"/>
        <v>0</v>
      </c>
      <c r="Z57" s="39">
        <f>'Setoran 1'!J57</f>
        <v>0</v>
      </c>
      <c r="AA57" s="19">
        <f t="shared" si="14"/>
        <v>0</v>
      </c>
      <c r="AB57" s="19">
        <f t="shared" si="15"/>
        <v>0</v>
      </c>
      <c r="AC57" s="39">
        <f>'Setoran 1'!K57</f>
        <v>0</v>
      </c>
      <c r="AD57" s="19">
        <f t="shared" si="16"/>
        <v>0</v>
      </c>
      <c r="AE57" s="19">
        <f t="shared" si="17"/>
        <v>0</v>
      </c>
      <c r="AF57" s="38">
        <f>'Setoran 1'!L57</f>
        <v>0</v>
      </c>
      <c r="AG57" s="19">
        <f t="shared" si="212"/>
        <v>0</v>
      </c>
      <c r="AH57" s="19">
        <f t="shared" si="213"/>
        <v>0</v>
      </c>
      <c r="AI57" s="38">
        <f>'Setoran 1'!M57</f>
        <v>0</v>
      </c>
      <c r="AJ57" s="19">
        <f t="shared" si="214"/>
        <v>0</v>
      </c>
      <c r="AK57" s="19">
        <f t="shared" si="215"/>
        <v>0</v>
      </c>
      <c r="AL57" s="38">
        <f>'Setoran 1'!N57</f>
        <v>0</v>
      </c>
      <c r="AM57" s="19">
        <f t="shared" si="216"/>
        <v>0</v>
      </c>
      <c r="AN57" s="19">
        <f t="shared" si="107"/>
        <v>0</v>
      </c>
      <c r="AO57" s="38">
        <f>'Setoran 1'!O57</f>
        <v>0</v>
      </c>
      <c r="AP57" s="19">
        <f t="shared" si="108"/>
        <v>0</v>
      </c>
      <c r="AQ57" s="19">
        <f t="shared" si="109"/>
        <v>0</v>
      </c>
      <c r="AR57" s="38">
        <f>'Setoran 1'!P57</f>
        <v>0</v>
      </c>
      <c r="AS57" s="19">
        <f t="shared" si="94"/>
        <v>0</v>
      </c>
      <c r="AT57" s="19">
        <f t="shared" si="95"/>
        <v>0</v>
      </c>
      <c r="AU57" s="38">
        <f>'Setoran 1'!Q57</f>
        <v>0</v>
      </c>
      <c r="AV57" s="19">
        <f t="shared" si="96"/>
        <v>0</v>
      </c>
      <c r="AW57" s="19">
        <f t="shared" si="97"/>
        <v>0</v>
      </c>
      <c r="AX57" s="39">
        <f t="shared" si="98"/>
        <v>0</v>
      </c>
      <c r="AY57" s="38">
        <f t="shared" si="99"/>
        <v>0</v>
      </c>
      <c r="AZ57" s="21">
        <f t="shared" si="100"/>
        <v>0</v>
      </c>
      <c r="BA57" s="22">
        <f t="shared" si="101"/>
        <v>0</v>
      </c>
    </row>
    <row r="58" spans="1:53" ht="14.5" customHeight="1" x14ac:dyDescent="0.2">
      <c r="A58" s="71">
        <v>8</v>
      </c>
      <c r="B58" s="53" t="s">
        <v>41</v>
      </c>
      <c r="C58" s="57">
        <f>'Data '!C54</f>
        <v>0</v>
      </c>
      <c r="D58" s="57">
        <f>'Data '!D54</f>
        <v>0</v>
      </c>
      <c r="E58" s="39">
        <f>'Setoran 1'!C58</f>
        <v>0</v>
      </c>
      <c r="F58" s="19">
        <f t="shared" si="0"/>
        <v>0</v>
      </c>
      <c r="G58" s="19">
        <f t="shared" si="1"/>
        <v>0</v>
      </c>
      <c r="H58" s="39">
        <f>'Setoran 1'!D58</f>
        <v>0</v>
      </c>
      <c r="I58" s="19">
        <f t="shared" si="2"/>
        <v>0</v>
      </c>
      <c r="J58" s="19">
        <f t="shared" si="3"/>
        <v>0</v>
      </c>
      <c r="K58" s="39">
        <f>'Setoran 1'!E58</f>
        <v>0</v>
      </c>
      <c r="L58" s="19">
        <f t="shared" si="4"/>
        <v>0</v>
      </c>
      <c r="M58" s="19">
        <f t="shared" si="5"/>
        <v>0</v>
      </c>
      <c r="N58" s="39">
        <f>'Setoran 1'!F58</f>
        <v>0</v>
      </c>
      <c r="O58" s="19">
        <f t="shared" si="6"/>
        <v>0</v>
      </c>
      <c r="P58" s="19">
        <f t="shared" si="7"/>
        <v>0</v>
      </c>
      <c r="Q58" s="39">
        <f>'Setoran 1'!G58</f>
        <v>0</v>
      </c>
      <c r="R58" s="19">
        <f t="shared" si="8"/>
        <v>0</v>
      </c>
      <c r="S58" s="19">
        <f t="shared" si="9"/>
        <v>0</v>
      </c>
      <c r="T58" s="39">
        <f>'Setoran 1'!H58</f>
        <v>0</v>
      </c>
      <c r="U58" s="19">
        <f t="shared" si="10"/>
        <v>0</v>
      </c>
      <c r="V58" s="19">
        <f t="shared" si="11"/>
        <v>0</v>
      </c>
      <c r="W58" s="39">
        <f>'Setoran 1'!I58</f>
        <v>0</v>
      </c>
      <c r="X58" s="19">
        <f t="shared" si="12"/>
        <v>0</v>
      </c>
      <c r="Y58" s="19">
        <f t="shared" si="13"/>
        <v>0</v>
      </c>
      <c r="Z58" s="39">
        <f>'Setoran 1'!J58</f>
        <v>0</v>
      </c>
      <c r="AA58" s="19">
        <f t="shared" si="14"/>
        <v>0</v>
      </c>
      <c r="AB58" s="19">
        <f t="shared" si="15"/>
        <v>0</v>
      </c>
      <c r="AC58" s="39">
        <f>'Setoran 1'!K58</f>
        <v>0</v>
      </c>
      <c r="AD58" s="19">
        <f t="shared" si="16"/>
        <v>0</v>
      </c>
      <c r="AE58" s="19">
        <f t="shared" si="17"/>
        <v>0</v>
      </c>
      <c r="AF58" s="38">
        <f>'Setoran 1'!L58</f>
        <v>0</v>
      </c>
      <c r="AG58" s="19">
        <f t="shared" si="212"/>
        <v>0</v>
      </c>
      <c r="AH58" s="19">
        <f t="shared" si="213"/>
        <v>0</v>
      </c>
      <c r="AI58" s="38">
        <f>'Setoran 1'!M58</f>
        <v>0</v>
      </c>
      <c r="AJ58" s="19">
        <f t="shared" si="214"/>
        <v>0</v>
      </c>
      <c r="AK58" s="19">
        <f t="shared" si="215"/>
        <v>0</v>
      </c>
      <c r="AL58" s="38">
        <f>'Setoran 1'!N58</f>
        <v>0</v>
      </c>
      <c r="AM58" s="19">
        <f t="shared" si="216"/>
        <v>0</v>
      </c>
      <c r="AN58" s="19">
        <f t="shared" si="107"/>
        <v>0</v>
      </c>
      <c r="AO58" s="38">
        <f>'Setoran 1'!O58</f>
        <v>0</v>
      </c>
      <c r="AP58" s="19">
        <f t="shared" si="108"/>
        <v>0</v>
      </c>
      <c r="AQ58" s="19">
        <f t="shared" si="109"/>
        <v>0</v>
      </c>
      <c r="AR58" s="38">
        <f>'Setoran 1'!P58</f>
        <v>0</v>
      </c>
      <c r="AS58" s="19">
        <f t="shared" si="94"/>
        <v>0</v>
      </c>
      <c r="AT58" s="19">
        <f t="shared" si="95"/>
        <v>0</v>
      </c>
      <c r="AU58" s="38">
        <f>'Setoran 1'!Q58</f>
        <v>0</v>
      </c>
      <c r="AV58" s="19">
        <f t="shared" si="96"/>
        <v>0</v>
      </c>
      <c r="AW58" s="19">
        <f t="shared" si="97"/>
        <v>0</v>
      </c>
      <c r="AX58" s="39">
        <f t="shared" si="98"/>
        <v>0</v>
      </c>
      <c r="AY58" s="38">
        <f t="shared" si="99"/>
        <v>0</v>
      </c>
      <c r="AZ58" s="21">
        <f t="shared" si="100"/>
        <v>0</v>
      </c>
      <c r="BA58" s="22">
        <f t="shared" si="101"/>
        <v>0</v>
      </c>
    </row>
    <row r="59" spans="1:53" ht="14.5" customHeight="1" x14ac:dyDescent="0.2">
      <c r="A59" s="51" t="s">
        <v>42</v>
      </c>
      <c r="B59" s="5"/>
      <c r="C59" s="40"/>
      <c r="D59" s="42"/>
      <c r="E59" s="39"/>
      <c r="F59" s="19"/>
      <c r="G59" s="19"/>
      <c r="H59" s="39"/>
      <c r="I59" s="19"/>
      <c r="J59" s="19"/>
      <c r="K59" s="39"/>
      <c r="L59" s="19"/>
      <c r="M59" s="19"/>
      <c r="N59" s="39"/>
      <c r="O59" s="19"/>
      <c r="P59" s="19"/>
      <c r="Q59" s="39"/>
      <c r="R59" s="19"/>
      <c r="S59" s="19"/>
      <c r="T59" s="39"/>
      <c r="U59" s="19"/>
      <c r="V59" s="19"/>
      <c r="W59" s="39"/>
      <c r="X59" s="19"/>
      <c r="Y59" s="19"/>
      <c r="Z59" s="39"/>
      <c r="AA59" s="19"/>
      <c r="AB59" s="19"/>
      <c r="AC59" s="39"/>
      <c r="AD59" s="19"/>
      <c r="AE59" s="19"/>
      <c r="AF59" s="38"/>
      <c r="AG59" s="19"/>
      <c r="AH59" s="19"/>
      <c r="AI59" s="38"/>
      <c r="AJ59" s="19"/>
      <c r="AK59" s="19"/>
      <c r="AL59" s="38"/>
      <c r="AM59" s="19"/>
      <c r="AN59" s="19"/>
      <c r="AO59" s="38"/>
      <c r="AP59" s="19"/>
      <c r="AQ59" s="19"/>
      <c r="AR59" s="38"/>
      <c r="AS59" s="19"/>
      <c r="AT59" s="19"/>
      <c r="AU59" s="38"/>
      <c r="AV59" s="19"/>
      <c r="AW59" s="19"/>
      <c r="AX59" s="39"/>
      <c r="AY59" s="38"/>
      <c r="AZ59" s="21"/>
      <c r="BA59" s="22"/>
    </row>
    <row r="60" spans="1:53" ht="14.5" customHeight="1" x14ac:dyDescent="0.2">
      <c r="A60" s="23">
        <v>1</v>
      </c>
      <c r="B60" s="25" t="s">
        <v>43</v>
      </c>
      <c r="C60" s="57">
        <f>'Data '!C56</f>
        <v>700</v>
      </c>
      <c r="D60" s="57">
        <f>'Data '!D56</f>
        <v>800</v>
      </c>
      <c r="E60" s="39">
        <f>'Setoran 1'!C60</f>
        <v>0</v>
      </c>
      <c r="F60" s="19">
        <f t="shared" si="0"/>
        <v>0</v>
      </c>
      <c r="G60" s="19">
        <f t="shared" si="1"/>
        <v>0</v>
      </c>
      <c r="H60" s="39">
        <f>'Setoran 1'!D60</f>
        <v>0</v>
      </c>
      <c r="I60" s="19">
        <f t="shared" si="2"/>
        <v>0</v>
      </c>
      <c r="J60" s="19">
        <f t="shared" si="3"/>
        <v>0</v>
      </c>
      <c r="K60" s="39">
        <f>'Setoran 1'!E60</f>
        <v>0</v>
      </c>
      <c r="L60" s="19">
        <f t="shared" si="4"/>
        <v>0</v>
      </c>
      <c r="M60" s="19">
        <f t="shared" si="5"/>
        <v>0</v>
      </c>
      <c r="N60" s="39">
        <f>'Setoran 1'!F60</f>
        <v>0</v>
      </c>
      <c r="O60" s="19">
        <f t="shared" si="6"/>
        <v>0</v>
      </c>
      <c r="P60" s="19">
        <f t="shared" si="7"/>
        <v>0</v>
      </c>
      <c r="Q60" s="39">
        <f>'Setoran 1'!G60</f>
        <v>0</v>
      </c>
      <c r="R60" s="19">
        <f t="shared" si="8"/>
        <v>0</v>
      </c>
      <c r="S60" s="19">
        <f t="shared" si="9"/>
        <v>0</v>
      </c>
      <c r="T60" s="39">
        <f>'Setoran 1'!H60</f>
        <v>0</v>
      </c>
      <c r="U60" s="19">
        <f t="shared" si="10"/>
        <v>0</v>
      </c>
      <c r="V60" s="19">
        <f t="shared" si="11"/>
        <v>0</v>
      </c>
      <c r="W60" s="39">
        <f>'Setoran 1'!I60</f>
        <v>0</v>
      </c>
      <c r="X60" s="19">
        <f t="shared" si="12"/>
        <v>0</v>
      </c>
      <c r="Y60" s="19">
        <f t="shared" si="13"/>
        <v>0</v>
      </c>
      <c r="Z60" s="39">
        <f>'Setoran 1'!J60</f>
        <v>0</v>
      </c>
      <c r="AA60" s="19">
        <f t="shared" si="14"/>
        <v>0</v>
      </c>
      <c r="AB60" s="19">
        <f t="shared" si="15"/>
        <v>0</v>
      </c>
      <c r="AC60" s="39">
        <f>'Setoran 1'!K60</f>
        <v>1</v>
      </c>
      <c r="AD60" s="19">
        <f t="shared" si="16"/>
        <v>700</v>
      </c>
      <c r="AE60" s="19">
        <f t="shared" si="17"/>
        <v>800</v>
      </c>
      <c r="AF60" s="38">
        <f>'Setoran 1'!L60</f>
        <v>0</v>
      </c>
      <c r="AG60" s="19">
        <f t="shared" ref="AG60:AG68" si="217">AF60*$C60</f>
        <v>0</v>
      </c>
      <c r="AH60" s="19">
        <f t="shared" ref="AH60:AH68" si="218">AF60*$D60</f>
        <v>0</v>
      </c>
      <c r="AI60" s="38">
        <f>'Setoran 1'!M60</f>
        <v>0</v>
      </c>
      <c r="AJ60" s="19">
        <f t="shared" ref="AJ60:AJ68" si="219">AI60*$C60</f>
        <v>0</v>
      </c>
      <c r="AK60" s="19">
        <f t="shared" ref="AK60:AK68" si="220">AI60*$D60</f>
        <v>0</v>
      </c>
      <c r="AL60" s="38">
        <f>'Setoran 1'!N60</f>
        <v>0</v>
      </c>
      <c r="AM60" s="19">
        <f t="shared" ref="AM60:AM68" si="221">AL60*$C60</f>
        <v>0</v>
      </c>
      <c r="AN60" s="19">
        <f t="shared" si="107"/>
        <v>0</v>
      </c>
      <c r="AO60" s="38">
        <f>'Setoran 1'!O60</f>
        <v>0</v>
      </c>
      <c r="AP60" s="19">
        <f t="shared" si="108"/>
        <v>0</v>
      </c>
      <c r="AQ60" s="19">
        <f t="shared" si="109"/>
        <v>0</v>
      </c>
      <c r="AR60" s="38">
        <f>'Setoran 1'!P60</f>
        <v>0</v>
      </c>
      <c r="AS60" s="19">
        <f t="shared" si="94"/>
        <v>0</v>
      </c>
      <c r="AT60" s="19">
        <f t="shared" si="95"/>
        <v>0</v>
      </c>
      <c r="AU60" s="38">
        <f>'Setoran 1'!Q60</f>
        <v>0</v>
      </c>
      <c r="AV60" s="19">
        <f t="shared" si="96"/>
        <v>0</v>
      </c>
      <c r="AW60" s="19">
        <f t="shared" si="97"/>
        <v>0</v>
      </c>
      <c r="AX60" s="39">
        <f t="shared" si="98"/>
        <v>1</v>
      </c>
      <c r="AY60" s="38">
        <f t="shared" si="99"/>
        <v>700</v>
      </c>
      <c r="AZ60" s="21">
        <f t="shared" si="100"/>
        <v>800</v>
      </c>
      <c r="BA60" s="22">
        <f t="shared" si="101"/>
        <v>100</v>
      </c>
    </row>
    <row r="61" spans="1:53" ht="14.5" customHeight="1" x14ac:dyDescent="0.2">
      <c r="A61" s="23">
        <v>2</v>
      </c>
      <c r="B61" s="25" t="s">
        <v>44</v>
      </c>
      <c r="C61" s="57">
        <f>'Data '!C57</f>
        <v>150</v>
      </c>
      <c r="D61" s="57">
        <f>'Data '!D57</f>
        <v>200</v>
      </c>
      <c r="E61" s="39">
        <f>'Setoran 1'!C61</f>
        <v>0</v>
      </c>
      <c r="F61" s="19">
        <f t="shared" si="0"/>
        <v>0</v>
      </c>
      <c r="G61" s="19">
        <f t="shared" si="1"/>
        <v>0</v>
      </c>
      <c r="H61" s="39">
        <f>'Setoran 1'!D61</f>
        <v>0</v>
      </c>
      <c r="I61" s="19">
        <f t="shared" si="2"/>
        <v>0</v>
      </c>
      <c r="J61" s="19">
        <f t="shared" si="3"/>
        <v>0</v>
      </c>
      <c r="K61" s="39">
        <f>'Setoran 1'!E61</f>
        <v>0</v>
      </c>
      <c r="L61" s="19">
        <f t="shared" si="4"/>
        <v>0</v>
      </c>
      <c r="M61" s="19">
        <f t="shared" si="5"/>
        <v>0</v>
      </c>
      <c r="N61" s="39">
        <f>'Setoran 1'!F61</f>
        <v>0</v>
      </c>
      <c r="O61" s="19">
        <f t="shared" si="6"/>
        <v>0</v>
      </c>
      <c r="P61" s="19">
        <f t="shared" si="7"/>
        <v>0</v>
      </c>
      <c r="Q61" s="39">
        <f>'Setoran 1'!G61</f>
        <v>0</v>
      </c>
      <c r="R61" s="19">
        <f t="shared" si="8"/>
        <v>0</v>
      </c>
      <c r="S61" s="19">
        <f t="shared" si="9"/>
        <v>0</v>
      </c>
      <c r="T61" s="39">
        <f>'Setoran 1'!H61</f>
        <v>0</v>
      </c>
      <c r="U61" s="19">
        <f t="shared" si="10"/>
        <v>0</v>
      </c>
      <c r="V61" s="19">
        <f t="shared" si="11"/>
        <v>0</v>
      </c>
      <c r="W61" s="39">
        <f>'Setoran 1'!I61</f>
        <v>3</v>
      </c>
      <c r="X61" s="19">
        <f t="shared" si="12"/>
        <v>450</v>
      </c>
      <c r="Y61" s="19">
        <f t="shared" si="13"/>
        <v>600</v>
      </c>
      <c r="Z61" s="39">
        <f>'Setoran 1'!J61</f>
        <v>0</v>
      </c>
      <c r="AA61" s="19">
        <f t="shared" si="14"/>
        <v>0</v>
      </c>
      <c r="AB61" s="19">
        <f t="shared" si="15"/>
        <v>0</v>
      </c>
      <c r="AC61" s="39">
        <f>'Setoran 1'!K61</f>
        <v>8</v>
      </c>
      <c r="AD61" s="19">
        <f t="shared" si="16"/>
        <v>1200</v>
      </c>
      <c r="AE61" s="19">
        <f t="shared" si="17"/>
        <v>1600</v>
      </c>
      <c r="AF61" s="38">
        <f>'Setoran 1'!L61</f>
        <v>0</v>
      </c>
      <c r="AG61" s="19">
        <f t="shared" si="217"/>
        <v>0</v>
      </c>
      <c r="AH61" s="19">
        <f t="shared" si="218"/>
        <v>0</v>
      </c>
      <c r="AI61" s="38">
        <f>'Setoran 1'!M61</f>
        <v>0</v>
      </c>
      <c r="AJ61" s="19">
        <f t="shared" si="219"/>
        <v>0</v>
      </c>
      <c r="AK61" s="19">
        <f t="shared" si="220"/>
        <v>0</v>
      </c>
      <c r="AL61" s="38">
        <f>'Setoran 1'!N61</f>
        <v>0</v>
      </c>
      <c r="AM61" s="19">
        <f t="shared" si="221"/>
        <v>0</v>
      </c>
      <c r="AN61" s="19">
        <f t="shared" si="107"/>
        <v>0</v>
      </c>
      <c r="AO61" s="38">
        <f>'Setoran 1'!O61</f>
        <v>0</v>
      </c>
      <c r="AP61" s="19">
        <f t="shared" si="108"/>
        <v>0</v>
      </c>
      <c r="AQ61" s="19">
        <f t="shared" si="109"/>
        <v>0</v>
      </c>
      <c r="AR61" s="38">
        <f>'Setoran 1'!P61</f>
        <v>0</v>
      </c>
      <c r="AS61" s="19">
        <f t="shared" si="94"/>
        <v>0</v>
      </c>
      <c r="AT61" s="19">
        <f t="shared" si="95"/>
        <v>0</v>
      </c>
      <c r="AU61" s="38">
        <f>'Setoran 1'!Q61</f>
        <v>0</v>
      </c>
      <c r="AV61" s="19">
        <f t="shared" si="96"/>
        <v>0</v>
      </c>
      <c r="AW61" s="19">
        <f t="shared" si="97"/>
        <v>0</v>
      </c>
      <c r="AX61" s="39">
        <f t="shared" si="98"/>
        <v>11</v>
      </c>
      <c r="AY61" s="38">
        <f t="shared" si="99"/>
        <v>1650</v>
      </c>
      <c r="AZ61" s="21">
        <f t="shared" si="100"/>
        <v>2200</v>
      </c>
      <c r="BA61" s="22">
        <f t="shared" si="101"/>
        <v>550</v>
      </c>
    </row>
    <row r="62" spans="1:53" ht="14.5" customHeight="1" x14ac:dyDescent="0.2">
      <c r="A62" s="23">
        <v>3</v>
      </c>
      <c r="B62" s="25" t="s">
        <v>45</v>
      </c>
      <c r="C62" s="57">
        <f>'Data '!C58</f>
        <v>50</v>
      </c>
      <c r="D62" s="57">
        <f>'Data '!D58</f>
        <v>100</v>
      </c>
      <c r="E62" s="39">
        <f>'Setoran 1'!C62</f>
        <v>2.9</v>
      </c>
      <c r="F62" s="19">
        <f t="shared" si="0"/>
        <v>145</v>
      </c>
      <c r="G62" s="19">
        <f t="shared" si="1"/>
        <v>290</v>
      </c>
      <c r="H62" s="39">
        <f>'Setoran 1'!D62</f>
        <v>0.4</v>
      </c>
      <c r="I62" s="19">
        <f t="shared" si="2"/>
        <v>20</v>
      </c>
      <c r="J62" s="19">
        <f t="shared" si="3"/>
        <v>40</v>
      </c>
      <c r="K62" s="39">
        <f>'Setoran 1'!E62</f>
        <v>0</v>
      </c>
      <c r="L62" s="19">
        <f t="shared" si="4"/>
        <v>0</v>
      </c>
      <c r="M62" s="19">
        <f t="shared" si="5"/>
        <v>0</v>
      </c>
      <c r="N62" s="39">
        <f>'Setoran 1'!F62</f>
        <v>0</v>
      </c>
      <c r="O62" s="19">
        <f t="shared" si="6"/>
        <v>0</v>
      </c>
      <c r="P62" s="19">
        <f t="shared" si="7"/>
        <v>0</v>
      </c>
      <c r="Q62" s="39">
        <f>'Setoran 1'!G62</f>
        <v>2.48</v>
      </c>
      <c r="R62" s="19">
        <f t="shared" si="8"/>
        <v>124</v>
      </c>
      <c r="S62" s="19">
        <f t="shared" si="9"/>
        <v>248</v>
      </c>
      <c r="T62" s="39">
        <f>'Setoran 1'!H62</f>
        <v>0</v>
      </c>
      <c r="U62" s="19">
        <f t="shared" si="10"/>
        <v>0</v>
      </c>
      <c r="V62" s="19">
        <f t="shared" si="11"/>
        <v>0</v>
      </c>
      <c r="W62" s="39">
        <f>'Setoran 1'!I62</f>
        <v>1</v>
      </c>
      <c r="X62" s="19">
        <f t="shared" si="12"/>
        <v>50</v>
      </c>
      <c r="Y62" s="19">
        <f t="shared" si="13"/>
        <v>100</v>
      </c>
      <c r="Z62" s="39">
        <f>'Setoran 1'!J62</f>
        <v>0.53</v>
      </c>
      <c r="AA62" s="19">
        <f t="shared" si="14"/>
        <v>26.5</v>
      </c>
      <c r="AB62" s="19">
        <f t="shared" si="15"/>
        <v>53</v>
      </c>
      <c r="AC62" s="39">
        <f>'Setoran 1'!K62</f>
        <v>10.39</v>
      </c>
      <c r="AD62" s="19">
        <f t="shared" si="16"/>
        <v>519.5</v>
      </c>
      <c r="AE62" s="19">
        <f t="shared" si="17"/>
        <v>1039</v>
      </c>
      <c r="AF62" s="38">
        <f>'Setoran 1'!L62</f>
        <v>0</v>
      </c>
      <c r="AG62" s="19">
        <f t="shared" si="217"/>
        <v>0</v>
      </c>
      <c r="AH62" s="19">
        <f t="shared" si="218"/>
        <v>0</v>
      </c>
      <c r="AI62" s="38">
        <f>'Setoran 1'!M62</f>
        <v>0</v>
      </c>
      <c r="AJ62" s="19">
        <f t="shared" si="219"/>
        <v>0</v>
      </c>
      <c r="AK62" s="19">
        <f t="shared" si="220"/>
        <v>0</v>
      </c>
      <c r="AL62" s="38">
        <f>'Setoran 1'!N62</f>
        <v>0</v>
      </c>
      <c r="AM62" s="19">
        <f t="shared" si="221"/>
        <v>0</v>
      </c>
      <c r="AN62" s="19">
        <f t="shared" si="107"/>
        <v>0</v>
      </c>
      <c r="AO62" s="38">
        <f>'Setoran 1'!O62</f>
        <v>0</v>
      </c>
      <c r="AP62" s="19">
        <f t="shared" si="108"/>
        <v>0</v>
      </c>
      <c r="AQ62" s="19">
        <f t="shared" si="109"/>
        <v>0</v>
      </c>
      <c r="AR62" s="38">
        <f>'Setoran 1'!P62</f>
        <v>0</v>
      </c>
      <c r="AS62" s="19">
        <f t="shared" si="94"/>
        <v>0</v>
      </c>
      <c r="AT62" s="19">
        <f t="shared" si="95"/>
        <v>0</v>
      </c>
      <c r="AU62" s="38">
        <f>'Setoran 1'!Q62</f>
        <v>0</v>
      </c>
      <c r="AV62" s="19">
        <f t="shared" si="96"/>
        <v>0</v>
      </c>
      <c r="AW62" s="19">
        <f t="shared" si="97"/>
        <v>0</v>
      </c>
      <c r="AX62" s="39">
        <f t="shared" si="98"/>
        <v>17.7</v>
      </c>
      <c r="AY62" s="38">
        <f t="shared" si="99"/>
        <v>885</v>
      </c>
      <c r="AZ62" s="21">
        <f t="shared" si="100"/>
        <v>1770</v>
      </c>
      <c r="BA62" s="22">
        <f t="shared" si="101"/>
        <v>885</v>
      </c>
    </row>
    <row r="63" spans="1:53" ht="14.5" customHeight="1" x14ac:dyDescent="0.2">
      <c r="A63" s="51" t="s">
        <v>46</v>
      </c>
      <c r="B63" s="5"/>
      <c r="C63" s="40"/>
      <c r="D63" s="42"/>
      <c r="E63" s="39"/>
      <c r="F63" s="19"/>
      <c r="G63" s="19"/>
      <c r="H63" s="39"/>
      <c r="I63" s="19"/>
      <c r="J63" s="19"/>
      <c r="K63" s="39"/>
      <c r="L63" s="19"/>
      <c r="M63" s="19"/>
      <c r="N63" s="39"/>
      <c r="O63" s="19"/>
      <c r="P63" s="19"/>
      <c r="Q63" s="39"/>
      <c r="R63" s="19"/>
      <c r="S63" s="19"/>
      <c r="T63" s="39"/>
      <c r="U63" s="19"/>
      <c r="V63" s="19"/>
      <c r="W63" s="39"/>
      <c r="X63" s="19"/>
      <c r="Y63" s="19"/>
      <c r="Z63" s="39"/>
      <c r="AA63" s="19"/>
      <c r="AB63" s="19"/>
      <c r="AC63" s="39"/>
      <c r="AD63" s="19"/>
      <c r="AE63" s="19"/>
      <c r="AF63" s="38"/>
      <c r="AG63" s="19"/>
      <c r="AH63" s="19"/>
      <c r="AI63" s="38"/>
      <c r="AJ63" s="19"/>
      <c r="AK63" s="19"/>
      <c r="AL63" s="38"/>
      <c r="AM63" s="19"/>
      <c r="AN63" s="19"/>
      <c r="AO63" s="38"/>
      <c r="AP63" s="19"/>
      <c r="AQ63" s="19"/>
      <c r="AR63" s="38"/>
      <c r="AS63" s="19"/>
      <c r="AT63" s="19"/>
      <c r="AU63" s="38"/>
      <c r="AV63" s="19"/>
      <c r="AW63" s="19"/>
      <c r="AX63" s="39"/>
      <c r="AY63" s="38"/>
      <c r="AZ63" s="21"/>
      <c r="BA63" s="22"/>
    </row>
    <row r="64" spans="1:53" ht="14.5" customHeight="1" x14ac:dyDescent="0.2">
      <c r="A64" s="71">
        <v>1</v>
      </c>
      <c r="B64" s="53" t="s">
        <v>100</v>
      </c>
      <c r="C64" s="57">
        <f>'Data '!C60</f>
        <v>150</v>
      </c>
      <c r="D64" s="57">
        <f>'Data '!D60</f>
        <v>200</v>
      </c>
      <c r="E64" s="39">
        <f>'Setoran 1'!C64</f>
        <v>0</v>
      </c>
      <c r="F64" s="19">
        <f t="shared" si="0"/>
        <v>0</v>
      </c>
      <c r="G64" s="19">
        <f t="shared" si="1"/>
        <v>0</v>
      </c>
      <c r="H64" s="39">
        <f>'Setoran 1'!D64</f>
        <v>0</v>
      </c>
      <c r="I64" s="19">
        <f t="shared" si="2"/>
        <v>0</v>
      </c>
      <c r="J64" s="19">
        <f t="shared" si="3"/>
        <v>0</v>
      </c>
      <c r="K64" s="39">
        <f>'Setoran 1'!E64</f>
        <v>0</v>
      </c>
      <c r="L64" s="19">
        <f t="shared" si="4"/>
        <v>0</v>
      </c>
      <c r="M64" s="19">
        <f t="shared" si="5"/>
        <v>0</v>
      </c>
      <c r="N64" s="39">
        <f>'Setoran 1'!F64</f>
        <v>0</v>
      </c>
      <c r="O64" s="19">
        <f t="shared" si="6"/>
        <v>0</v>
      </c>
      <c r="P64" s="19">
        <f t="shared" si="7"/>
        <v>0</v>
      </c>
      <c r="Q64" s="39">
        <f>'Setoran 1'!G64</f>
        <v>0</v>
      </c>
      <c r="R64" s="19">
        <f t="shared" si="8"/>
        <v>0</v>
      </c>
      <c r="S64" s="19">
        <f t="shared" si="9"/>
        <v>0</v>
      </c>
      <c r="T64" s="39">
        <f>'Setoran 1'!H64</f>
        <v>0</v>
      </c>
      <c r="U64" s="19">
        <f t="shared" si="10"/>
        <v>0</v>
      </c>
      <c r="V64" s="19">
        <f t="shared" si="11"/>
        <v>0</v>
      </c>
      <c r="W64" s="39">
        <f>'Setoran 1'!I64</f>
        <v>0.34</v>
      </c>
      <c r="X64" s="19">
        <f t="shared" si="12"/>
        <v>51.000000000000007</v>
      </c>
      <c r="Y64" s="19">
        <f t="shared" si="13"/>
        <v>68</v>
      </c>
      <c r="Z64" s="39">
        <f>'Setoran 1'!J64</f>
        <v>0</v>
      </c>
      <c r="AA64" s="19">
        <f t="shared" si="14"/>
        <v>0</v>
      </c>
      <c r="AB64" s="19">
        <f t="shared" si="15"/>
        <v>0</v>
      </c>
      <c r="AC64" s="39">
        <f>'Setoran 1'!K64</f>
        <v>0</v>
      </c>
      <c r="AD64" s="19">
        <f t="shared" si="16"/>
        <v>0</v>
      </c>
      <c r="AE64" s="19">
        <f t="shared" si="17"/>
        <v>0</v>
      </c>
      <c r="AF64" s="38">
        <f>'Setoran 1'!L64</f>
        <v>0</v>
      </c>
      <c r="AG64" s="19">
        <f t="shared" si="217"/>
        <v>0</v>
      </c>
      <c r="AH64" s="19">
        <f t="shared" si="218"/>
        <v>0</v>
      </c>
      <c r="AI64" s="38">
        <f>'Setoran 1'!M64</f>
        <v>0</v>
      </c>
      <c r="AJ64" s="19">
        <f t="shared" si="219"/>
        <v>0</v>
      </c>
      <c r="AK64" s="19">
        <f t="shared" si="220"/>
        <v>0</v>
      </c>
      <c r="AL64" s="38">
        <f>'Setoran 1'!N64</f>
        <v>0</v>
      </c>
      <c r="AM64" s="19">
        <f t="shared" si="221"/>
        <v>0</v>
      </c>
      <c r="AN64" s="19">
        <f t="shared" si="107"/>
        <v>0</v>
      </c>
      <c r="AO64" s="38">
        <f>'Setoran 1'!O64</f>
        <v>0</v>
      </c>
      <c r="AP64" s="19">
        <f t="shared" si="108"/>
        <v>0</v>
      </c>
      <c r="AQ64" s="19">
        <f t="shared" si="109"/>
        <v>0</v>
      </c>
      <c r="AR64" s="38">
        <f>'Setoran 1'!P64</f>
        <v>0</v>
      </c>
      <c r="AS64" s="19">
        <f t="shared" si="94"/>
        <v>0</v>
      </c>
      <c r="AT64" s="19">
        <f t="shared" si="95"/>
        <v>0</v>
      </c>
      <c r="AU64" s="38">
        <f>'Setoran 1'!Q64</f>
        <v>0</v>
      </c>
      <c r="AV64" s="19">
        <f t="shared" si="96"/>
        <v>0</v>
      </c>
      <c r="AW64" s="19">
        <f t="shared" si="97"/>
        <v>0</v>
      </c>
      <c r="AX64" s="39">
        <f t="shared" si="98"/>
        <v>0.34</v>
      </c>
      <c r="AY64" s="38">
        <f t="shared" si="99"/>
        <v>51.000000000000007</v>
      </c>
      <c r="AZ64" s="21">
        <f t="shared" si="100"/>
        <v>68</v>
      </c>
      <c r="BA64" s="22">
        <f t="shared" si="101"/>
        <v>16.999999999999993</v>
      </c>
    </row>
    <row r="65" spans="1:53" ht="14.5" customHeight="1" x14ac:dyDescent="0.2">
      <c r="A65" s="71">
        <v>2</v>
      </c>
      <c r="B65" s="53" t="s">
        <v>101</v>
      </c>
      <c r="C65" s="57">
        <f>'Data '!C61</f>
        <v>0</v>
      </c>
      <c r="D65" s="57">
        <f>'Data '!D61</f>
        <v>0</v>
      </c>
      <c r="E65" s="39">
        <f>'Setoran 1'!C65</f>
        <v>0</v>
      </c>
      <c r="F65" s="19">
        <f t="shared" si="0"/>
        <v>0</v>
      </c>
      <c r="G65" s="19">
        <f t="shared" si="1"/>
        <v>0</v>
      </c>
      <c r="H65" s="39">
        <f>'Setoran 1'!D65</f>
        <v>0</v>
      </c>
      <c r="I65" s="19">
        <f t="shared" si="2"/>
        <v>0</v>
      </c>
      <c r="J65" s="19">
        <f t="shared" si="3"/>
        <v>0</v>
      </c>
      <c r="K65" s="39">
        <f>'Setoran 1'!E65</f>
        <v>0</v>
      </c>
      <c r="L65" s="19">
        <f t="shared" si="4"/>
        <v>0</v>
      </c>
      <c r="M65" s="19">
        <f t="shared" si="5"/>
        <v>0</v>
      </c>
      <c r="N65" s="39">
        <f>'Setoran 1'!F65</f>
        <v>0</v>
      </c>
      <c r="O65" s="19">
        <f t="shared" si="6"/>
        <v>0</v>
      </c>
      <c r="P65" s="19">
        <f t="shared" si="7"/>
        <v>0</v>
      </c>
      <c r="Q65" s="39">
        <f>'Setoran 1'!G65</f>
        <v>0</v>
      </c>
      <c r="R65" s="19">
        <f t="shared" si="8"/>
        <v>0</v>
      </c>
      <c r="S65" s="19">
        <f t="shared" si="9"/>
        <v>0</v>
      </c>
      <c r="T65" s="39">
        <f>'Setoran 1'!H65</f>
        <v>0</v>
      </c>
      <c r="U65" s="19">
        <f t="shared" si="10"/>
        <v>0</v>
      </c>
      <c r="V65" s="19">
        <f t="shared" si="11"/>
        <v>0</v>
      </c>
      <c r="W65" s="39">
        <f>'Setoran 1'!I65</f>
        <v>0</v>
      </c>
      <c r="X65" s="19">
        <f t="shared" si="12"/>
        <v>0</v>
      </c>
      <c r="Y65" s="19">
        <f t="shared" si="13"/>
        <v>0</v>
      </c>
      <c r="Z65" s="39">
        <f>'Setoran 1'!J65</f>
        <v>0</v>
      </c>
      <c r="AA65" s="19">
        <f t="shared" si="14"/>
        <v>0</v>
      </c>
      <c r="AB65" s="19">
        <f t="shared" si="15"/>
        <v>0</v>
      </c>
      <c r="AC65" s="39">
        <f>'Setoran 1'!K65</f>
        <v>0</v>
      </c>
      <c r="AD65" s="19">
        <f t="shared" si="16"/>
        <v>0</v>
      </c>
      <c r="AE65" s="19">
        <f t="shared" si="17"/>
        <v>0</v>
      </c>
      <c r="AF65" s="38">
        <f>'Setoran 1'!L65</f>
        <v>0</v>
      </c>
      <c r="AG65" s="19">
        <f t="shared" si="217"/>
        <v>0</v>
      </c>
      <c r="AH65" s="19">
        <f t="shared" si="218"/>
        <v>0</v>
      </c>
      <c r="AI65" s="38">
        <f>'Setoran 1'!M65</f>
        <v>0</v>
      </c>
      <c r="AJ65" s="19">
        <f t="shared" si="219"/>
        <v>0</v>
      </c>
      <c r="AK65" s="19">
        <f t="shared" si="220"/>
        <v>0</v>
      </c>
      <c r="AL65" s="38">
        <f>'Setoran 1'!N65</f>
        <v>0</v>
      </c>
      <c r="AM65" s="19">
        <f t="shared" si="221"/>
        <v>0</v>
      </c>
      <c r="AN65" s="19">
        <f t="shared" si="107"/>
        <v>0</v>
      </c>
      <c r="AO65" s="38">
        <f>'Setoran 1'!O65</f>
        <v>0</v>
      </c>
      <c r="AP65" s="19">
        <f t="shared" si="108"/>
        <v>0</v>
      </c>
      <c r="AQ65" s="19">
        <f t="shared" si="109"/>
        <v>0</v>
      </c>
      <c r="AR65" s="38">
        <f>'Setoran 1'!P65</f>
        <v>0</v>
      </c>
      <c r="AS65" s="19">
        <f t="shared" si="94"/>
        <v>0</v>
      </c>
      <c r="AT65" s="19">
        <f t="shared" si="95"/>
        <v>0</v>
      </c>
      <c r="AU65" s="38">
        <f>'Setoran 1'!Q65</f>
        <v>0</v>
      </c>
      <c r="AV65" s="19">
        <f t="shared" si="96"/>
        <v>0</v>
      </c>
      <c r="AW65" s="19">
        <f t="shared" si="97"/>
        <v>0</v>
      </c>
      <c r="AX65" s="39">
        <f t="shared" si="98"/>
        <v>0</v>
      </c>
      <c r="AY65" s="38">
        <f t="shared" si="99"/>
        <v>0</v>
      </c>
      <c r="AZ65" s="21">
        <f t="shared" si="100"/>
        <v>0</v>
      </c>
      <c r="BA65" s="22">
        <f t="shared" si="101"/>
        <v>0</v>
      </c>
    </row>
    <row r="66" spans="1:53" ht="14.5" customHeight="1" x14ac:dyDescent="0.2">
      <c r="A66" s="71">
        <v>3</v>
      </c>
      <c r="B66" s="53" t="s">
        <v>47</v>
      </c>
      <c r="C66" s="57">
        <f>'Data '!C62</f>
        <v>150</v>
      </c>
      <c r="D66" s="57">
        <f>'Data '!D62</f>
        <v>200</v>
      </c>
      <c r="E66" s="39">
        <f>'Setoran 1'!C66</f>
        <v>0</v>
      </c>
      <c r="F66" s="19">
        <f t="shared" si="0"/>
        <v>0</v>
      </c>
      <c r="G66" s="19">
        <f t="shared" si="1"/>
        <v>0</v>
      </c>
      <c r="H66" s="39">
        <f>'Setoran 1'!D66</f>
        <v>0.3</v>
      </c>
      <c r="I66" s="19">
        <f t="shared" si="2"/>
        <v>45</v>
      </c>
      <c r="J66" s="19">
        <f t="shared" si="3"/>
        <v>60</v>
      </c>
      <c r="K66" s="39">
        <f>'Setoran 1'!E66</f>
        <v>0</v>
      </c>
      <c r="L66" s="19">
        <f t="shared" si="4"/>
        <v>0</v>
      </c>
      <c r="M66" s="19">
        <f t="shared" si="5"/>
        <v>0</v>
      </c>
      <c r="N66" s="39">
        <f>'Setoran 1'!F66</f>
        <v>0</v>
      </c>
      <c r="O66" s="19">
        <f t="shared" si="6"/>
        <v>0</v>
      </c>
      <c r="P66" s="19">
        <f t="shared" si="7"/>
        <v>0</v>
      </c>
      <c r="Q66" s="39">
        <f>'Setoran 1'!G66</f>
        <v>0.16</v>
      </c>
      <c r="R66" s="19">
        <f t="shared" si="8"/>
        <v>24</v>
      </c>
      <c r="S66" s="19">
        <f t="shared" si="9"/>
        <v>32</v>
      </c>
      <c r="T66" s="39">
        <f>'Setoran 1'!H66</f>
        <v>0.48</v>
      </c>
      <c r="U66" s="19">
        <f t="shared" si="10"/>
        <v>72</v>
      </c>
      <c r="V66" s="19">
        <f t="shared" si="11"/>
        <v>96</v>
      </c>
      <c r="W66" s="39">
        <f>'Setoran 1'!I66</f>
        <v>2.5</v>
      </c>
      <c r="X66" s="19">
        <f t="shared" si="12"/>
        <v>375</v>
      </c>
      <c r="Y66" s="19">
        <f t="shared" si="13"/>
        <v>500</v>
      </c>
      <c r="Z66" s="39">
        <f>'Setoran 1'!J66</f>
        <v>0.1</v>
      </c>
      <c r="AA66" s="19">
        <f t="shared" si="14"/>
        <v>15</v>
      </c>
      <c r="AB66" s="19">
        <f t="shared" si="15"/>
        <v>20</v>
      </c>
      <c r="AC66" s="39">
        <f>'Setoran 1'!K66</f>
        <v>1.07</v>
      </c>
      <c r="AD66" s="19">
        <f t="shared" si="16"/>
        <v>160.5</v>
      </c>
      <c r="AE66" s="19">
        <f t="shared" si="17"/>
        <v>214</v>
      </c>
      <c r="AF66" s="38">
        <f>'Setoran 1'!L66</f>
        <v>0</v>
      </c>
      <c r="AG66" s="19">
        <f t="shared" si="217"/>
        <v>0</v>
      </c>
      <c r="AH66" s="19">
        <f t="shared" si="218"/>
        <v>0</v>
      </c>
      <c r="AI66" s="38">
        <f>'Setoran 1'!M66</f>
        <v>0</v>
      </c>
      <c r="AJ66" s="19">
        <f t="shared" si="219"/>
        <v>0</v>
      </c>
      <c r="AK66" s="19">
        <f t="shared" si="220"/>
        <v>0</v>
      </c>
      <c r="AL66" s="38">
        <f>'Setoran 1'!N66</f>
        <v>0</v>
      </c>
      <c r="AM66" s="19">
        <f t="shared" si="221"/>
        <v>0</v>
      </c>
      <c r="AN66" s="19">
        <f t="shared" si="107"/>
        <v>0</v>
      </c>
      <c r="AO66" s="38">
        <f>'Setoran 1'!O66</f>
        <v>0</v>
      </c>
      <c r="AP66" s="19">
        <f t="shared" si="108"/>
        <v>0</v>
      </c>
      <c r="AQ66" s="19">
        <f t="shared" si="109"/>
        <v>0</v>
      </c>
      <c r="AR66" s="38">
        <f>'Setoran 1'!P66</f>
        <v>0</v>
      </c>
      <c r="AS66" s="19">
        <f t="shared" si="94"/>
        <v>0</v>
      </c>
      <c r="AT66" s="19">
        <f t="shared" si="95"/>
        <v>0</v>
      </c>
      <c r="AU66" s="38">
        <f>'Setoran 1'!Q66</f>
        <v>0</v>
      </c>
      <c r="AV66" s="19">
        <f t="shared" si="96"/>
        <v>0</v>
      </c>
      <c r="AW66" s="19">
        <f t="shared" si="97"/>
        <v>0</v>
      </c>
      <c r="AX66" s="39">
        <f t="shared" si="98"/>
        <v>4.6100000000000003</v>
      </c>
      <c r="AY66" s="38">
        <f t="shared" si="99"/>
        <v>691.5</v>
      </c>
      <c r="AZ66" s="21">
        <f t="shared" si="100"/>
        <v>922</v>
      </c>
      <c r="BA66" s="22">
        <f t="shared" si="101"/>
        <v>230.5</v>
      </c>
    </row>
    <row r="67" spans="1:53" ht="14.5" customHeight="1" x14ac:dyDescent="0.2">
      <c r="A67" s="71">
        <v>4</v>
      </c>
      <c r="B67" s="53" t="s">
        <v>102</v>
      </c>
      <c r="C67" s="57">
        <f>'Data '!C63</f>
        <v>0</v>
      </c>
      <c r="D67" s="57">
        <f>'Data '!D63</f>
        <v>0</v>
      </c>
      <c r="E67" s="39">
        <f>'Setoran 1'!C67</f>
        <v>0</v>
      </c>
      <c r="F67" s="19">
        <f t="shared" si="0"/>
        <v>0</v>
      </c>
      <c r="G67" s="19">
        <f t="shared" si="1"/>
        <v>0</v>
      </c>
      <c r="H67" s="39">
        <f>'Setoran 1'!D67</f>
        <v>0</v>
      </c>
      <c r="I67" s="19">
        <f t="shared" si="2"/>
        <v>0</v>
      </c>
      <c r="J67" s="19">
        <f t="shared" si="3"/>
        <v>0</v>
      </c>
      <c r="K67" s="39">
        <f>'Setoran 1'!E67</f>
        <v>0</v>
      </c>
      <c r="L67" s="19">
        <f t="shared" si="4"/>
        <v>0</v>
      </c>
      <c r="M67" s="19">
        <f t="shared" si="5"/>
        <v>0</v>
      </c>
      <c r="N67" s="39">
        <f>'Setoran 1'!F67</f>
        <v>0</v>
      </c>
      <c r="O67" s="19">
        <f t="shared" si="6"/>
        <v>0</v>
      </c>
      <c r="P67" s="19">
        <f t="shared" si="7"/>
        <v>0</v>
      </c>
      <c r="Q67" s="39">
        <f>'Setoran 1'!G67</f>
        <v>0</v>
      </c>
      <c r="R67" s="19">
        <f t="shared" si="8"/>
        <v>0</v>
      </c>
      <c r="S67" s="19">
        <f t="shared" si="9"/>
        <v>0</v>
      </c>
      <c r="T67" s="39">
        <f>'Setoran 1'!H67</f>
        <v>0</v>
      </c>
      <c r="U67" s="19">
        <f t="shared" si="10"/>
        <v>0</v>
      </c>
      <c r="V67" s="19">
        <f t="shared" si="11"/>
        <v>0</v>
      </c>
      <c r="W67" s="39">
        <f>'Setoran 1'!I67</f>
        <v>0</v>
      </c>
      <c r="X67" s="19">
        <f t="shared" si="12"/>
        <v>0</v>
      </c>
      <c r="Y67" s="19">
        <f t="shared" si="13"/>
        <v>0</v>
      </c>
      <c r="Z67" s="39">
        <f>'Setoran 1'!J67</f>
        <v>0</v>
      </c>
      <c r="AA67" s="19">
        <f t="shared" si="14"/>
        <v>0</v>
      </c>
      <c r="AB67" s="19">
        <f t="shared" si="15"/>
        <v>0</v>
      </c>
      <c r="AC67" s="39">
        <f>'Setoran 1'!K67</f>
        <v>0</v>
      </c>
      <c r="AD67" s="19">
        <f t="shared" si="16"/>
        <v>0</v>
      </c>
      <c r="AE67" s="19">
        <f t="shared" si="17"/>
        <v>0</v>
      </c>
      <c r="AF67" s="38">
        <f>'Setoran 1'!L67</f>
        <v>0</v>
      </c>
      <c r="AG67" s="19">
        <f t="shared" si="217"/>
        <v>0</v>
      </c>
      <c r="AH67" s="19">
        <f t="shared" si="218"/>
        <v>0</v>
      </c>
      <c r="AI67" s="38">
        <f>'Setoran 1'!M67</f>
        <v>0</v>
      </c>
      <c r="AJ67" s="19">
        <f t="shared" si="219"/>
        <v>0</v>
      </c>
      <c r="AK67" s="19">
        <f t="shared" si="220"/>
        <v>0</v>
      </c>
      <c r="AL67" s="38">
        <f>'Setoran 1'!N67</f>
        <v>0</v>
      </c>
      <c r="AM67" s="19">
        <f t="shared" si="221"/>
        <v>0</v>
      </c>
      <c r="AN67" s="19">
        <f t="shared" si="107"/>
        <v>0</v>
      </c>
      <c r="AO67" s="38">
        <f>'Setoran 1'!O67</f>
        <v>0</v>
      </c>
      <c r="AP67" s="19">
        <f t="shared" si="108"/>
        <v>0</v>
      </c>
      <c r="AQ67" s="19">
        <f t="shared" si="109"/>
        <v>0</v>
      </c>
      <c r="AR67" s="38">
        <f>'Setoran 1'!P67</f>
        <v>0</v>
      </c>
      <c r="AS67" s="19">
        <f t="shared" si="94"/>
        <v>0</v>
      </c>
      <c r="AT67" s="19">
        <f t="shared" si="95"/>
        <v>0</v>
      </c>
      <c r="AU67" s="38">
        <f>'Setoran 1'!Q67</f>
        <v>0</v>
      </c>
      <c r="AV67" s="19">
        <f t="shared" si="96"/>
        <v>0</v>
      </c>
      <c r="AW67" s="19">
        <f t="shared" si="97"/>
        <v>0</v>
      </c>
      <c r="AX67" s="39">
        <f t="shared" si="98"/>
        <v>0</v>
      </c>
      <c r="AY67" s="38">
        <f t="shared" si="99"/>
        <v>0</v>
      </c>
      <c r="AZ67" s="21">
        <f t="shared" si="100"/>
        <v>0</v>
      </c>
      <c r="BA67" s="22">
        <f t="shared" si="101"/>
        <v>0</v>
      </c>
    </row>
    <row r="68" spans="1:53" ht="14.5" customHeight="1" x14ac:dyDescent="0.2">
      <c r="A68" s="71">
        <v>5</v>
      </c>
      <c r="B68" s="53" t="s">
        <v>48</v>
      </c>
      <c r="C68" s="57">
        <f>'Data '!C64</f>
        <v>0</v>
      </c>
      <c r="D68" s="57">
        <f>'Data '!D64</f>
        <v>0</v>
      </c>
      <c r="E68" s="39">
        <f>'Setoran 1'!C68</f>
        <v>0</v>
      </c>
      <c r="F68" s="19">
        <f t="shared" si="0"/>
        <v>0</v>
      </c>
      <c r="G68" s="19">
        <f t="shared" si="1"/>
        <v>0</v>
      </c>
      <c r="H68" s="39">
        <f>'Setoran 1'!D68</f>
        <v>0</v>
      </c>
      <c r="I68" s="19">
        <f t="shared" si="2"/>
        <v>0</v>
      </c>
      <c r="J68" s="19">
        <f t="shared" si="3"/>
        <v>0</v>
      </c>
      <c r="K68" s="39">
        <f>'Setoran 1'!E68</f>
        <v>0</v>
      </c>
      <c r="L68" s="19">
        <f t="shared" si="4"/>
        <v>0</v>
      </c>
      <c r="M68" s="19">
        <f t="shared" si="5"/>
        <v>0</v>
      </c>
      <c r="N68" s="39">
        <f>'Setoran 1'!F68</f>
        <v>0</v>
      </c>
      <c r="O68" s="19">
        <f t="shared" si="6"/>
        <v>0</v>
      </c>
      <c r="P68" s="19">
        <f t="shared" si="7"/>
        <v>0</v>
      </c>
      <c r="Q68" s="39">
        <f>'Setoran 1'!G68</f>
        <v>0</v>
      </c>
      <c r="R68" s="19">
        <f t="shared" si="8"/>
        <v>0</v>
      </c>
      <c r="S68" s="19">
        <f t="shared" si="9"/>
        <v>0</v>
      </c>
      <c r="T68" s="39">
        <f>'Setoran 1'!H68</f>
        <v>0</v>
      </c>
      <c r="U68" s="19">
        <f t="shared" si="10"/>
        <v>0</v>
      </c>
      <c r="V68" s="19">
        <f t="shared" si="11"/>
        <v>0</v>
      </c>
      <c r="W68" s="39">
        <f>'Setoran 1'!I68</f>
        <v>0</v>
      </c>
      <c r="X68" s="19">
        <f t="shared" si="12"/>
        <v>0</v>
      </c>
      <c r="Y68" s="19">
        <f t="shared" si="13"/>
        <v>0</v>
      </c>
      <c r="Z68" s="39">
        <f>'Setoran 1'!J68</f>
        <v>0</v>
      </c>
      <c r="AA68" s="19">
        <f t="shared" si="14"/>
        <v>0</v>
      </c>
      <c r="AB68" s="19">
        <f t="shared" si="15"/>
        <v>0</v>
      </c>
      <c r="AC68" s="39">
        <f>'Setoran 1'!K68</f>
        <v>0</v>
      </c>
      <c r="AD68" s="19">
        <f t="shared" si="16"/>
        <v>0</v>
      </c>
      <c r="AE68" s="19">
        <f t="shared" si="17"/>
        <v>0</v>
      </c>
      <c r="AF68" s="38">
        <f>'Setoran 1'!L68</f>
        <v>0</v>
      </c>
      <c r="AG68" s="19">
        <f t="shared" si="217"/>
        <v>0</v>
      </c>
      <c r="AH68" s="19">
        <f t="shared" si="218"/>
        <v>0</v>
      </c>
      <c r="AI68" s="38">
        <f>'Setoran 1'!M68</f>
        <v>0</v>
      </c>
      <c r="AJ68" s="19">
        <f t="shared" si="219"/>
        <v>0</v>
      </c>
      <c r="AK68" s="19">
        <f t="shared" si="220"/>
        <v>0</v>
      </c>
      <c r="AL68" s="38">
        <f>'Setoran 1'!N68</f>
        <v>0</v>
      </c>
      <c r="AM68" s="19">
        <f t="shared" si="221"/>
        <v>0</v>
      </c>
      <c r="AN68" s="19">
        <f t="shared" si="107"/>
        <v>0</v>
      </c>
      <c r="AO68" s="38">
        <f>'Setoran 1'!O68</f>
        <v>0</v>
      </c>
      <c r="AP68" s="19">
        <f t="shared" si="108"/>
        <v>0</v>
      </c>
      <c r="AQ68" s="19">
        <f t="shared" si="109"/>
        <v>0</v>
      </c>
      <c r="AR68" s="38">
        <f>'Setoran 1'!P68</f>
        <v>0</v>
      </c>
      <c r="AS68" s="19">
        <f t="shared" si="94"/>
        <v>0</v>
      </c>
      <c r="AT68" s="19">
        <f t="shared" si="95"/>
        <v>0</v>
      </c>
      <c r="AU68" s="38">
        <f>'Setoran 1'!Q68</f>
        <v>0</v>
      </c>
      <c r="AV68" s="19">
        <f t="shared" si="96"/>
        <v>0</v>
      </c>
      <c r="AW68" s="19">
        <f t="shared" si="97"/>
        <v>0</v>
      </c>
      <c r="AX68" s="39">
        <f t="shared" si="98"/>
        <v>0</v>
      </c>
      <c r="AY68" s="38">
        <f t="shared" si="99"/>
        <v>0</v>
      </c>
      <c r="AZ68" s="21">
        <f t="shared" si="100"/>
        <v>0</v>
      </c>
      <c r="BA68" s="22">
        <f t="shared" si="101"/>
        <v>0</v>
      </c>
    </row>
    <row r="69" spans="1:53" ht="14.5" customHeight="1" x14ac:dyDescent="0.2">
      <c r="A69" s="71">
        <v>6</v>
      </c>
      <c r="B69" s="53" t="s">
        <v>49</v>
      </c>
      <c r="C69" s="57">
        <f>'Data '!C65</f>
        <v>0</v>
      </c>
      <c r="D69" s="57">
        <f>'Data '!D65</f>
        <v>0</v>
      </c>
      <c r="E69" s="39">
        <f>'Setoran 1'!C69</f>
        <v>0</v>
      </c>
      <c r="F69" s="19">
        <f t="shared" ref="F69:F74" si="222">E69*C69</f>
        <v>0</v>
      </c>
      <c r="G69" s="19">
        <f t="shared" ref="G69:G74" si="223">E69*D69</f>
        <v>0</v>
      </c>
      <c r="H69" s="39">
        <f>'Setoran 1'!D69</f>
        <v>0</v>
      </c>
      <c r="I69" s="19">
        <f t="shared" ref="I69:I74" si="224">H69*$C69</f>
        <v>0</v>
      </c>
      <c r="J69" s="19">
        <f t="shared" ref="J69:J74" si="225">H69*$D69</f>
        <v>0</v>
      </c>
      <c r="K69" s="39">
        <f>'Setoran 1'!E69</f>
        <v>0</v>
      </c>
      <c r="L69" s="19">
        <f t="shared" ref="L69:L74" si="226">K69*$C69</f>
        <v>0</v>
      </c>
      <c r="M69" s="19">
        <f t="shared" ref="M69:M74" si="227">K69*$D69</f>
        <v>0</v>
      </c>
      <c r="N69" s="39">
        <f>'Setoran 1'!F69</f>
        <v>0</v>
      </c>
      <c r="O69" s="19">
        <f t="shared" ref="O69:O74" si="228">N69*$C69</f>
        <v>0</v>
      </c>
      <c r="P69" s="19">
        <f t="shared" ref="P69:P74" si="229">N69*$D69</f>
        <v>0</v>
      </c>
      <c r="Q69" s="39">
        <f>'Setoran 1'!G69</f>
        <v>0</v>
      </c>
      <c r="R69" s="19">
        <f t="shared" ref="R69:R74" si="230">Q69*$C69</f>
        <v>0</v>
      </c>
      <c r="S69" s="19">
        <f t="shared" ref="S69:S74" si="231">Q69*$D69</f>
        <v>0</v>
      </c>
      <c r="T69" s="39">
        <f>'Setoran 1'!H69</f>
        <v>0</v>
      </c>
      <c r="U69" s="19">
        <f t="shared" ref="U69:U74" si="232">T69*$C69</f>
        <v>0</v>
      </c>
      <c r="V69" s="19">
        <f t="shared" ref="V69:V74" si="233">T69*$D69</f>
        <v>0</v>
      </c>
      <c r="W69" s="39">
        <f>'Setoran 1'!I69</f>
        <v>0</v>
      </c>
      <c r="X69" s="19">
        <f t="shared" ref="X69:X74" si="234">W69*$C69</f>
        <v>0</v>
      </c>
      <c r="Y69" s="19">
        <f t="shared" ref="Y69:Y74" si="235">W69*$D69</f>
        <v>0</v>
      </c>
      <c r="Z69" s="39">
        <f>'Setoran 1'!J69</f>
        <v>0</v>
      </c>
      <c r="AA69" s="19">
        <f t="shared" ref="AA69:AA74" si="236">Z69*$C69</f>
        <v>0</v>
      </c>
      <c r="AB69" s="19">
        <f t="shared" ref="AB69:AB74" si="237">Z69*$D69</f>
        <v>0</v>
      </c>
      <c r="AC69" s="39">
        <f>'Setoran 1'!K69</f>
        <v>0</v>
      </c>
      <c r="AD69" s="19">
        <f t="shared" ref="AD69:AD74" si="238">AC69*$C69</f>
        <v>0</v>
      </c>
      <c r="AE69" s="19">
        <f t="shared" ref="AE69:AE74" si="239">AC69*$D69</f>
        <v>0</v>
      </c>
      <c r="AF69" s="38">
        <f>'Setoran 1'!L69</f>
        <v>0</v>
      </c>
      <c r="AG69" s="19">
        <f t="shared" ref="AG69:AG74" si="240">AF69*$C69</f>
        <v>0</v>
      </c>
      <c r="AH69" s="19">
        <f t="shared" ref="AH69:AH74" si="241">AF69*$D69</f>
        <v>0</v>
      </c>
      <c r="AI69" s="38">
        <f>'Setoran 1'!M69</f>
        <v>0</v>
      </c>
      <c r="AJ69" s="19">
        <f t="shared" ref="AJ69:AJ74" si="242">AI69*$C69</f>
        <v>0</v>
      </c>
      <c r="AK69" s="19">
        <f t="shared" ref="AK69:AK74" si="243">AI69*$D69</f>
        <v>0</v>
      </c>
      <c r="AL69" s="38">
        <f>'Setoran 1'!N69</f>
        <v>0</v>
      </c>
      <c r="AM69" s="19">
        <f t="shared" ref="AM69:AM74" si="244">AL69*$C69</f>
        <v>0</v>
      </c>
      <c r="AN69" s="19">
        <f t="shared" ref="AN69:AN74" si="245">AL69*$D69</f>
        <v>0</v>
      </c>
      <c r="AO69" s="38">
        <f>'Setoran 1'!O69</f>
        <v>0</v>
      </c>
      <c r="AP69" s="19">
        <f t="shared" ref="AP69:AP74" si="246">AO69*$C69</f>
        <v>0</v>
      </c>
      <c r="AQ69" s="19">
        <f t="shared" ref="AQ69:AQ74" si="247">AO69*$D69</f>
        <v>0</v>
      </c>
      <c r="AR69" s="38">
        <f>'Setoran 1'!P69</f>
        <v>0</v>
      </c>
      <c r="AS69" s="19">
        <f t="shared" ref="AS69:AS74" si="248">AR69*$C69</f>
        <v>0</v>
      </c>
      <c r="AT69" s="19">
        <f t="shared" ref="AT69:AT74" si="249">AR69*$D69</f>
        <v>0</v>
      </c>
      <c r="AU69" s="38">
        <f>'Setoran 1'!Q69</f>
        <v>0</v>
      </c>
      <c r="AV69" s="19">
        <f t="shared" ref="AV69:AV74" si="250">AU69*$C69</f>
        <v>0</v>
      </c>
      <c r="AW69" s="19">
        <f t="shared" ref="AW69:AW74" si="251">AU69*$D69</f>
        <v>0</v>
      </c>
      <c r="AX69" s="39">
        <f t="shared" si="98"/>
        <v>0</v>
      </c>
      <c r="AY69" s="38">
        <f t="shared" si="99"/>
        <v>0</v>
      </c>
      <c r="AZ69" s="21">
        <f t="shared" si="100"/>
        <v>0</v>
      </c>
      <c r="BA69" s="22">
        <f t="shared" si="101"/>
        <v>0</v>
      </c>
    </row>
    <row r="70" spans="1:53" ht="14.5" customHeight="1" x14ac:dyDescent="0.2">
      <c r="A70" s="71">
        <v>7</v>
      </c>
      <c r="B70" s="53" t="s">
        <v>52</v>
      </c>
      <c r="C70" s="57">
        <f>'Data '!C66</f>
        <v>150</v>
      </c>
      <c r="D70" s="57">
        <f>'Data '!D66</f>
        <v>200</v>
      </c>
      <c r="E70" s="39">
        <f>'Setoran 1'!C70</f>
        <v>0</v>
      </c>
      <c r="F70" s="19">
        <f t="shared" si="222"/>
        <v>0</v>
      </c>
      <c r="G70" s="19">
        <f t="shared" si="223"/>
        <v>0</v>
      </c>
      <c r="H70" s="39">
        <f>'Setoran 1'!D70</f>
        <v>0</v>
      </c>
      <c r="I70" s="19">
        <f t="shared" si="224"/>
        <v>0</v>
      </c>
      <c r="J70" s="19">
        <f t="shared" si="225"/>
        <v>0</v>
      </c>
      <c r="K70" s="39">
        <f>'Setoran 1'!E70</f>
        <v>0</v>
      </c>
      <c r="L70" s="19">
        <f t="shared" si="226"/>
        <v>0</v>
      </c>
      <c r="M70" s="19">
        <f t="shared" si="227"/>
        <v>0</v>
      </c>
      <c r="N70" s="39">
        <f>'Setoran 1'!F70</f>
        <v>0</v>
      </c>
      <c r="O70" s="19">
        <f t="shared" si="228"/>
        <v>0</v>
      </c>
      <c r="P70" s="19">
        <f t="shared" si="229"/>
        <v>0</v>
      </c>
      <c r="Q70" s="39">
        <f>'Setoran 1'!G70</f>
        <v>0</v>
      </c>
      <c r="R70" s="19">
        <f t="shared" si="230"/>
        <v>0</v>
      </c>
      <c r="S70" s="19">
        <f t="shared" si="231"/>
        <v>0</v>
      </c>
      <c r="T70" s="39">
        <f>'Setoran 1'!H70</f>
        <v>0</v>
      </c>
      <c r="U70" s="19">
        <f t="shared" si="232"/>
        <v>0</v>
      </c>
      <c r="V70" s="19">
        <f t="shared" si="233"/>
        <v>0</v>
      </c>
      <c r="W70" s="39">
        <f>'Setoran 1'!I70</f>
        <v>0</v>
      </c>
      <c r="X70" s="19">
        <f t="shared" si="234"/>
        <v>0</v>
      </c>
      <c r="Y70" s="19">
        <f t="shared" si="235"/>
        <v>0</v>
      </c>
      <c r="Z70" s="39">
        <f>'Setoran 1'!J70</f>
        <v>0</v>
      </c>
      <c r="AA70" s="19">
        <f t="shared" si="236"/>
        <v>0</v>
      </c>
      <c r="AB70" s="19">
        <f t="shared" si="237"/>
        <v>0</v>
      </c>
      <c r="AC70" s="39">
        <f>'Setoran 1'!K70</f>
        <v>0</v>
      </c>
      <c r="AD70" s="19">
        <f t="shared" si="238"/>
        <v>0</v>
      </c>
      <c r="AE70" s="19">
        <f t="shared" si="239"/>
        <v>0</v>
      </c>
      <c r="AF70" s="38">
        <f>'Setoran 1'!L70</f>
        <v>0</v>
      </c>
      <c r="AG70" s="19">
        <f t="shared" si="240"/>
        <v>0</v>
      </c>
      <c r="AH70" s="19">
        <f t="shared" si="241"/>
        <v>0</v>
      </c>
      <c r="AI70" s="38">
        <f>'Setoran 1'!M70</f>
        <v>0</v>
      </c>
      <c r="AJ70" s="19">
        <f t="shared" si="242"/>
        <v>0</v>
      </c>
      <c r="AK70" s="19">
        <f t="shared" si="243"/>
        <v>0</v>
      </c>
      <c r="AL70" s="38">
        <f>'Setoran 1'!N70</f>
        <v>0</v>
      </c>
      <c r="AM70" s="19">
        <f t="shared" si="244"/>
        <v>0</v>
      </c>
      <c r="AN70" s="19">
        <f t="shared" si="245"/>
        <v>0</v>
      </c>
      <c r="AO70" s="38">
        <f>'Setoran 1'!O70</f>
        <v>0</v>
      </c>
      <c r="AP70" s="19">
        <f t="shared" si="246"/>
        <v>0</v>
      </c>
      <c r="AQ70" s="19">
        <f t="shared" si="247"/>
        <v>0</v>
      </c>
      <c r="AR70" s="38">
        <f>'Setoran 1'!P70</f>
        <v>0</v>
      </c>
      <c r="AS70" s="19">
        <f t="shared" si="248"/>
        <v>0</v>
      </c>
      <c r="AT70" s="19">
        <f t="shared" si="249"/>
        <v>0</v>
      </c>
      <c r="AU70" s="38">
        <f>'Setoran 1'!Q70</f>
        <v>0</v>
      </c>
      <c r="AV70" s="19">
        <f t="shared" si="250"/>
        <v>0</v>
      </c>
      <c r="AW70" s="19">
        <f t="shared" si="251"/>
        <v>0</v>
      </c>
      <c r="AX70" s="39">
        <f t="shared" si="98"/>
        <v>0</v>
      </c>
      <c r="AY70" s="38">
        <f t="shared" si="99"/>
        <v>0</v>
      </c>
      <c r="AZ70" s="21">
        <f t="shared" si="100"/>
        <v>0</v>
      </c>
      <c r="BA70" s="22">
        <f t="shared" si="101"/>
        <v>0</v>
      </c>
    </row>
    <row r="71" spans="1:53" ht="14.5" customHeight="1" x14ac:dyDescent="0.2">
      <c r="A71" s="71">
        <v>8</v>
      </c>
      <c r="B71" s="53" t="s">
        <v>51</v>
      </c>
      <c r="C71" s="57">
        <f>'Data '!C67</f>
        <v>450</v>
      </c>
      <c r="D71" s="57">
        <f>'Data '!D67</f>
        <v>500</v>
      </c>
      <c r="E71" s="39">
        <f>'Setoran 1'!C71</f>
        <v>0</v>
      </c>
      <c r="F71" s="19">
        <f t="shared" si="222"/>
        <v>0</v>
      </c>
      <c r="G71" s="19">
        <f t="shared" si="223"/>
        <v>0</v>
      </c>
      <c r="H71" s="39">
        <f>'Setoran 1'!D71</f>
        <v>0</v>
      </c>
      <c r="I71" s="19">
        <f t="shared" si="224"/>
        <v>0</v>
      </c>
      <c r="J71" s="19">
        <f t="shared" si="225"/>
        <v>0</v>
      </c>
      <c r="K71" s="39">
        <f>'Setoran 1'!E71</f>
        <v>0</v>
      </c>
      <c r="L71" s="19">
        <f t="shared" si="226"/>
        <v>0</v>
      </c>
      <c r="M71" s="19">
        <f t="shared" si="227"/>
        <v>0</v>
      </c>
      <c r="N71" s="39">
        <f>'Setoran 1'!F71</f>
        <v>0</v>
      </c>
      <c r="O71" s="19">
        <f t="shared" si="228"/>
        <v>0</v>
      </c>
      <c r="P71" s="19">
        <f t="shared" si="229"/>
        <v>0</v>
      </c>
      <c r="Q71" s="39">
        <f>'Setoran 1'!G71</f>
        <v>0.14000000000000001</v>
      </c>
      <c r="R71" s="19">
        <f t="shared" si="230"/>
        <v>63.000000000000007</v>
      </c>
      <c r="S71" s="19">
        <f t="shared" si="231"/>
        <v>70</v>
      </c>
      <c r="T71" s="39">
        <f>'Setoran 1'!H71</f>
        <v>0</v>
      </c>
      <c r="U71" s="19">
        <f t="shared" si="232"/>
        <v>0</v>
      </c>
      <c r="V71" s="19">
        <f t="shared" si="233"/>
        <v>0</v>
      </c>
      <c r="W71" s="39">
        <f>'Setoran 1'!I71</f>
        <v>0</v>
      </c>
      <c r="X71" s="19">
        <f t="shared" si="234"/>
        <v>0</v>
      </c>
      <c r="Y71" s="19">
        <f t="shared" si="235"/>
        <v>0</v>
      </c>
      <c r="Z71" s="39">
        <f>'Setoran 1'!J71</f>
        <v>0</v>
      </c>
      <c r="AA71" s="19">
        <f t="shared" si="236"/>
        <v>0</v>
      </c>
      <c r="AB71" s="19">
        <f t="shared" si="237"/>
        <v>0</v>
      </c>
      <c r="AC71" s="39">
        <f>'Setoran 1'!K71</f>
        <v>0</v>
      </c>
      <c r="AD71" s="19">
        <f t="shared" si="238"/>
        <v>0</v>
      </c>
      <c r="AE71" s="19">
        <f t="shared" si="239"/>
        <v>0</v>
      </c>
      <c r="AF71" s="38">
        <f>'Setoran 1'!L71</f>
        <v>0</v>
      </c>
      <c r="AG71" s="19">
        <f t="shared" si="240"/>
        <v>0</v>
      </c>
      <c r="AH71" s="19">
        <f t="shared" si="241"/>
        <v>0</v>
      </c>
      <c r="AI71" s="38">
        <f>'Setoran 1'!M71</f>
        <v>0</v>
      </c>
      <c r="AJ71" s="19">
        <f t="shared" si="242"/>
        <v>0</v>
      </c>
      <c r="AK71" s="19">
        <f t="shared" si="243"/>
        <v>0</v>
      </c>
      <c r="AL71" s="38">
        <f>'Setoran 1'!N71</f>
        <v>0</v>
      </c>
      <c r="AM71" s="19">
        <f t="shared" si="244"/>
        <v>0</v>
      </c>
      <c r="AN71" s="19">
        <f t="shared" si="245"/>
        <v>0</v>
      </c>
      <c r="AO71" s="38">
        <f>'Setoran 1'!O71</f>
        <v>0</v>
      </c>
      <c r="AP71" s="19">
        <f t="shared" si="246"/>
        <v>0</v>
      </c>
      <c r="AQ71" s="19">
        <f t="shared" si="247"/>
        <v>0</v>
      </c>
      <c r="AR71" s="38">
        <f>'Setoran 1'!P71</f>
        <v>0</v>
      </c>
      <c r="AS71" s="19">
        <f t="shared" si="248"/>
        <v>0</v>
      </c>
      <c r="AT71" s="19">
        <f t="shared" si="249"/>
        <v>0</v>
      </c>
      <c r="AU71" s="38">
        <f>'Setoran 1'!Q71</f>
        <v>0</v>
      </c>
      <c r="AV71" s="19">
        <f t="shared" si="250"/>
        <v>0</v>
      </c>
      <c r="AW71" s="19">
        <f t="shared" si="251"/>
        <v>0</v>
      </c>
      <c r="AX71" s="39">
        <f t="shared" si="98"/>
        <v>0.14000000000000001</v>
      </c>
      <c r="AY71" s="38">
        <f t="shared" si="99"/>
        <v>63.000000000000007</v>
      </c>
      <c r="AZ71" s="21">
        <f t="shared" si="100"/>
        <v>70</v>
      </c>
      <c r="BA71" s="22">
        <f t="shared" si="101"/>
        <v>6.9999999999999929</v>
      </c>
    </row>
    <row r="72" spans="1:53" ht="14.5" customHeight="1" x14ac:dyDescent="0.2">
      <c r="A72" s="71">
        <v>9</v>
      </c>
      <c r="B72" s="53" t="s">
        <v>104</v>
      </c>
      <c r="C72" s="57">
        <f>'Data '!C68</f>
        <v>0</v>
      </c>
      <c r="D72" s="57">
        <f>'Data '!D68</f>
        <v>0</v>
      </c>
      <c r="E72" s="39">
        <f>'Setoran 1'!C72</f>
        <v>0</v>
      </c>
      <c r="F72" s="19">
        <f t="shared" si="222"/>
        <v>0</v>
      </c>
      <c r="G72" s="19">
        <f t="shared" si="223"/>
        <v>0</v>
      </c>
      <c r="H72" s="39">
        <f>'Setoran 1'!D72</f>
        <v>0</v>
      </c>
      <c r="I72" s="19">
        <f t="shared" si="224"/>
        <v>0</v>
      </c>
      <c r="J72" s="19">
        <f t="shared" si="225"/>
        <v>0</v>
      </c>
      <c r="K72" s="39">
        <f>'Setoran 1'!E72</f>
        <v>0</v>
      </c>
      <c r="L72" s="19">
        <f t="shared" si="226"/>
        <v>0</v>
      </c>
      <c r="M72" s="19">
        <f t="shared" si="227"/>
        <v>0</v>
      </c>
      <c r="N72" s="39">
        <f>'Setoran 1'!F72</f>
        <v>0</v>
      </c>
      <c r="O72" s="19">
        <f t="shared" si="228"/>
        <v>0</v>
      </c>
      <c r="P72" s="19">
        <f t="shared" si="229"/>
        <v>0</v>
      </c>
      <c r="Q72" s="39">
        <f>'Setoran 1'!G72</f>
        <v>0</v>
      </c>
      <c r="R72" s="19">
        <f t="shared" si="230"/>
        <v>0</v>
      </c>
      <c r="S72" s="19">
        <f t="shared" si="231"/>
        <v>0</v>
      </c>
      <c r="T72" s="39">
        <f>'Setoran 1'!H72</f>
        <v>0</v>
      </c>
      <c r="U72" s="19">
        <f t="shared" si="232"/>
        <v>0</v>
      </c>
      <c r="V72" s="19">
        <f t="shared" si="233"/>
        <v>0</v>
      </c>
      <c r="W72" s="39">
        <f>'Setoran 1'!I72</f>
        <v>0</v>
      </c>
      <c r="X72" s="19">
        <f t="shared" si="234"/>
        <v>0</v>
      </c>
      <c r="Y72" s="19">
        <f t="shared" si="235"/>
        <v>0</v>
      </c>
      <c r="Z72" s="39">
        <f>'Setoran 1'!J72</f>
        <v>0</v>
      </c>
      <c r="AA72" s="19">
        <f t="shared" si="236"/>
        <v>0</v>
      </c>
      <c r="AB72" s="19">
        <f t="shared" si="237"/>
        <v>0</v>
      </c>
      <c r="AC72" s="39">
        <f>'Setoran 1'!K72</f>
        <v>0</v>
      </c>
      <c r="AD72" s="19">
        <f t="shared" si="238"/>
        <v>0</v>
      </c>
      <c r="AE72" s="19">
        <f t="shared" si="239"/>
        <v>0</v>
      </c>
      <c r="AF72" s="38">
        <f>'Setoran 1'!L72</f>
        <v>0</v>
      </c>
      <c r="AG72" s="19">
        <f t="shared" si="240"/>
        <v>0</v>
      </c>
      <c r="AH72" s="19">
        <f t="shared" si="241"/>
        <v>0</v>
      </c>
      <c r="AI72" s="38">
        <f>'Setoran 1'!M72</f>
        <v>0</v>
      </c>
      <c r="AJ72" s="19">
        <f t="shared" si="242"/>
        <v>0</v>
      </c>
      <c r="AK72" s="19">
        <f t="shared" si="243"/>
        <v>0</v>
      </c>
      <c r="AL72" s="38">
        <f>'Setoran 1'!N72</f>
        <v>0</v>
      </c>
      <c r="AM72" s="19">
        <f t="shared" si="244"/>
        <v>0</v>
      </c>
      <c r="AN72" s="19">
        <f t="shared" si="245"/>
        <v>0</v>
      </c>
      <c r="AO72" s="38">
        <f>'Setoran 1'!O72</f>
        <v>0</v>
      </c>
      <c r="AP72" s="19">
        <f t="shared" si="246"/>
        <v>0</v>
      </c>
      <c r="AQ72" s="19">
        <f t="shared" si="247"/>
        <v>0</v>
      </c>
      <c r="AR72" s="38">
        <f>'Setoran 1'!P72</f>
        <v>0</v>
      </c>
      <c r="AS72" s="19">
        <f t="shared" si="248"/>
        <v>0</v>
      </c>
      <c r="AT72" s="19">
        <f t="shared" si="249"/>
        <v>0</v>
      </c>
      <c r="AU72" s="38">
        <f>'Setoran 1'!Q72</f>
        <v>0</v>
      </c>
      <c r="AV72" s="19">
        <f t="shared" si="250"/>
        <v>0</v>
      </c>
      <c r="AW72" s="19">
        <f t="shared" si="251"/>
        <v>0</v>
      </c>
      <c r="AX72" s="39">
        <f t="shared" si="98"/>
        <v>0</v>
      </c>
      <c r="AY72" s="38">
        <f t="shared" si="99"/>
        <v>0</v>
      </c>
      <c r="AZ72" s="21">
        <f t="shared" si="100"/>
        <v>0</v>
      </c>
      <c r="BA72" s="22">
        <f t="shared" si="101"/>
        <v>0</v>
      </c>
    </row>
    <row r="73" spans="1:53" ht="14.5" customHeight="1" x14ac:dyDescent="0.2">
      <c r="A73" s="71">
        <v>10</v>
      </c>
      <c r="B73" s="53" t="s">
        <v>50</v>
      </c>
      <c r="C73" s="57">
        <f>'Data '!C69</f>
        <v>200</v>
      </c>
      <c r="D73" s="57">
        <f>'Data '!D69</f>
        <v>300</v>
      </c>
      <c r="E73" s="39">
        <f>'Setoran 1'!C73</f>
        <v>0</v>
      </c>
      <c r="F73" s="19">
        <f t="shared" si="222"/>
        <v>0</v>
      </c>
      <c r="G73" s="19">
        <f t="shared" si="223"/>
        <v>0</v>
      </c>
      <c r="H73" s="39">
        <f>'Setoran 1'!D73</f>
        <v>0</v>
      </c>
      <c r="I73" s="19">
        <f t="shared" si="224"/>
        <v>0</v>
      </c>
      <c r="J73" s="19">
        <f t="shared" si="225"/>
        <v>0</v>
      </c>
      <c r="K73" s="39">
        <f>'Setoran 1'!E73</f>
        <v>0</v>
      </c>
      <c r="L73" s="19">
        <f t="shared" si="226"/>
        <v>0</v>
      </c>
      <c r="M73" s="19">
        <f t="shared" si="227"/>
        <v>0</v>
      </c>
      <c r="N73" s="39">
        <f>'Setoran 1'!F73</f>
        <v>2.2000000000000002</v>
      </c>
      <c r="O73" s="19">
        <f t="shared" si="228"/>
        <v>440.00000000000006</v>
      </c>
      <c r="P73" s="19">
        <f t="shared" si="229"/>
        <v>660</v>
      </c>
      <c r="Q73" s="39">
        <f>'Setoran 1'!G73</f>
        <v>0</v>
      </c>
      <c r="R73" s="19">
        <f t="shared" si="230"/>
        <v>0</v>
      </c>
      <c r="S73" s="19">
        <f t="shared" si="231"/>
        <v>0</v>
      </c>
      <c r="T73" s="39">
        <f>'Setoran 1'!H73</f>
        <v>1.31</v>
      </c>
      <c r="U73" s="19">
        <f t="shared" si="232"/>
        <v>262</v>
      </c>
      <c r="V73" s="19">
        <f t="shared" si="233"/>
        <v>393</v>
      </c>
      <c r="W73" s="39">
        <f>'Setoran 1'!I73</f>
        <v>0.4</v>
      </c>
      <c r="X73" s="19">
        <f t="shared" si="234"/>
        <v>80</v>
      </c>
      <c r="Y73" s="19">
        <f t="shared" si="235"/>
        <v>120</v>
      </c>
      <c r="Z73" s="39">
        <f>'Setoran 1'!J73</f>
        <v>0</v>
      </c>
      <c r="AA73" s="19">
        <f t="shared" si="236"/>
        <v>0</v>
      </c>
      <c r="AB73" s="19">
        <f t="shared" si="237"/>
        <v>0</v>
      </c>
      <c r="AC73" s="39">
        <f>'Setoran 1'!K73</f>
        <v>0</v>
      </c>
      <c r="AD73" s="19">
        <f t="shared" si="238"/>
        <v>0</v>
      </c>
      <c r="AE73" s="19">
        <f t="shared" si="239"/>
        <v>0</v>
      </c>
      <c r="AF73" s="38">
        <f>'Setoran 1'!L73</f>
        <v>0</v>
      </c>
      <c r="AG73" s="19">
        <f t="shared" si="240"/>
        <v>0</v>
      </c>
      <c r="AH73" s="19">
        <f t="shared" si="241"/>
        <v>0</v>
      </c>
      <c r="AI73" s="38">
        <f>'Setoran 1'!M73</f>
        <v>0</v>
      </c>
      <c r="AJ73" s="19">
        <f t="shared" si="242"/>
        <v>0</v>
      </c>
      <c r="AK73" s="19">
        <f t="shared" si="243"/>
        <v>0</v>
      </c>
      <c r="AL73" s="38">
        <f>'Setoran 1'!N73</f>
        <v>0</v>
      </c>
      <c r="AM73" s="19">
        <f t="shared" si="244"/>
        <v>0</v>
      </c>
      <c r="AN73" s="19">
        <f t="shared" si="245"/>
        <v>0</v>
      </c>
      <c r="AO73" s="38">
        <f>'Setoran 1'!O73</f>
        <v>0</v>
      </c>
      <c r="AP73" s="19">
        <f t="shared" si="246"/>
        <v>0</v>
      </c>
      <c r="AQ73" s="19">
        <f t="shared" si="247"/>
        <v>0</v>
      </c>
      <c r="AR73" s="38">
        <f>'Setoran 1'!P73</f>
        <v>0</v>
      </c>
      <c r="AS73" s="19">
        <f t="shared" si="248"/>
        <v>0</v>
      </c>
      <c r="AT73" s="19">
        <f t="shared" si="249"/>
        <v>0</v>
      </c>
      <c r="AU73" s="38">
        <f>'Setoran 1'!Q73</f>
        <v>0</v>
      </c>
      <c r="AV73" s="19">
        <f t="shared" si="250"/>
        <v>0</v>
      </c>
      <c r="AW73" s="19">
        <f t="shared" si="251"/>
        <v>0</v>
      </c>
      <c r="AX73" s="39">
        <f t="shared" si="98"/>
        <v>3.91</v>
      </c>
      <c r="AY73" s="38">
        <f t="shared" si="99"/>
        <v>782</v>
      </c>
      <c r="AZ73" s="21">
        <f t="shared" si="100"/>
        <v>1173</v>
      </c>
      <c r="BA73" s="22">
        <f t="shared" si="101"/>
        <v>391</v>
      </c>
    </row>
    <row r="74" spans="1:53" ht="14.5" customHeight="1" x14ac:dyDescent="0.2">
      <c r="A74" s="71">
        <v>11</v>
      </c>
      <c r="B74" s="53" t="s">
        <v>106</v>
      </c>
      <c r="C74" s="57">
        <f>'Data '!C70</f>
        <v>400</v>
      </c>
      <c r="D74" s="57">
        <f>'Data '!D70</f>
        <v>500</v>
      </c>
      <c r="E74" s="39">
        <f>'Setoran 1'!C74</f>
        <v>0</v>
      </c>
      <c r="F74" s="19">
        <f t="shared" si="222"/>
        <v>0</v>
      </c>
      <c r="G74" s="19">
        <f t="shared" si="223"/>
        <v>0</v>
      </c>
      <c r="H74" s="39">
        <f>'Setoran 1'!D74</f>
        <v>0</v>
      </c>
      <c r="I74" s="19">
        <f t="shared" si="224"/>
        <v>0</v>
      </c>
      <c r="J74" s="19">
        <f t="shared" si="225"/>
        <v>0</v>
      </c>
      <c r="K74" s="39">
        <f>'Setoran 1'!E74</f>
        <v>0</v>
      </c>
      <c r="L74" s="19">
        <f t="shared" si="226"/>
        <v>0</v>
      </c>
      <c r="M74" s="19">
        <f t="shared" si="227"/>
        <v>0</v>
      </c>
      <c r="N74" s="39">
        <f>'Setoran 1'!F74</f>
        <v>0</v>
      </c>
      <c r="O74" s="19">
        <f t="shared" si="228"/>
        <v>0</v>
      </c>
      <c r="P74" s="19">
        <f t="shared" si="229"/>
        <v>0</v>
      </c>
      <c r="Q74" s="39">
        <f>'Setoran 1'!G74</f>
        <v>0</v>
      </c>
      <c r="R74" s="19">
        <f t="shared" si="230"/>
        <v>0</v>
      </c>
      <c r="S74" s="19">
        <f t="shared" si="231"/>
        <v>0</v>
      </c>
      <c r="T74" s="39">
        <f>'Setoran 1'!H74</f>
        <v>0</v>
      </c>
      <c r="U74" s="19">
        <f t="shared" si="232"/>
        <v>0</v>
      </c>
      <c r="V74" s="19">
        <f t="shared" si="233"/>
        <v>0</v>
      </c>
      <c r="W74" s="39">
        <f>'Setoran 1'!I74</f>
        <v>0</v>
      </c>
      <c r="X74" s="19">
        <f t="shared" si="234"/>
        <v>0</v>
      </c>
      <c r="Y74" s="19">
        <f t="shared" si="235"/>
        <v>0</v>
      </c>
      <c r="Z74" s="39">
        <f>'Setoran 1'!J74</f>
        <v>0</v>
      </c>
      <c r="AA74" s="19">
        <f t="shared" si="236"/>
        <v>0</v>
      </c>
      <c r="AB74" s="19">
        <f t="shared" si="237"/>
        <v>0</v>
      </c>
      <c r="AC74" s="39">
        <f>'Setoran 1'!K74</f>
        <v>0</v>
      </c>
      <c r="AD74" s="19">
        <f t="shared" si="238"/>
        <v>0</v>
      </c>
      <c r="AE74" s="19">
        <f t="shared" si="239"/>
        <v>0</v>
      </c>
      <c r="AF74" s="38">
        <f>'Setoran 1'!L74</f>
        <v>0</v>
      </c>
      <c r="AG74" s="19">
        <f t="shared" si="240"/>
        <v>0</v>
      </c>
      <c r="AH74" s="19">
        <f t="shared" si="241"/>
        <v>0</v>
      </c>
      <c r="AI74" s="38">
        <f>'Setoran 1'!M74</f>
        <v>0</v>
      </c>
      <c r="AJ74" s="19">
        <f t="shared" si="242"/>
        <v>0</v>
      </c>
      <c r="AK74" s="19">
        <f t="shared" si="243"/>
        <v>0</v>
      </c>
      <c r="AL74" s="38">
        <f>'Setoran 1'!N74</f>
        <v>0</v>
      </c>
      <c r="AM74" s="19">
        <f t="shared" si="244"/>
        <v>0</v>
      </c>
      <c r="AN74" s="19">
        <f t="shared" si="245"/>
        <v>0</v>
      </c>
      <c r="AO74" s="38">
        <f>'Setoran 1'!O74</f>
        <v>0</v>
      </c>
      <c r="AP74" s="19">
        <f t="shared" si="246"/>
        <v>0</v>
      </c>
      <c r="AQ74" s="19">
        <f t="shared" si="247"/>
        <v>0</v>
      </c>
      <c r="AR74" s="38">
        <f>'Setoran 1'!P74</f>
        <v>0</v>
      </c>
      <c r="AS74" s="19">
        <f t="shared" si="248"/>
        <v>0</v>
      </c>
      <c r="AT74" s="19">
        <f t="shared" si="249"/>
        <v>0</v>
      </c>
      <c r="AU74" s="38">
        <f>'Setoran 1'!Q74</f>
        <v>0</v>
      </c>
      <c r="AV74" s="19">
        <f t="shared" si="250"/>
        <v>0</v>
      </c>
      <c r="AW74" s="19">
        <f t="shared" si="251"/>
        <v>0</v>
      </c>
      <c r="AX74" s="39">
        <f t="shared" si="98"/>
        <v>0</v>
      </c>
      <c r="AY74" s="38">
        <f t="shared" si="99"/>
        <v>0</v>
      </c>
      <c r="AZ74" s="21">
        <f t="shared" si="100"/>
        <v>0</v>
      </c>
      <c r="BA74" s="22">
        <f t="shared" si="101"/>
        <v>0</v>
      </c>
    </row>
    <row r="75" spans="1:53" ht="14.5" customHeight="1" x14ac:dyDescent="0.2">
      <c r="A75" s="71">
        <v>12</v>
      </c>
      <c r="B75" s="53" t="s">
        <v>108</v>
      </c>
      <c r="C75" s="57">
        <f>'Data '!C71</f>
        <v>0</v>
      </c>
      <c r="D75" s="57">
        <f>'Data '!D71</f>
        <v>0</v>
      </c>
      <c r="E75" s="39">
        <f>'Setoran 1'!C75</f>
        <v>0</v>
      </c>
      <c r="F75" s="19">
        <f t="shared" ref="F75" si="252">E75*C75</f>
        <v>0</v>
      </c>
      <c r="G75" s="19">
        <f t="shared" ref="G75" si="253">E75*D75</f>
        <v>0</v>
      </c>
      <c r="H75" s="39">
        <f>'Setoran 1'!D75</f>
        <v>0</v>
      </c>
      <c r="I75" s="19">
        <f t="shared" ref="I75" si="254">H75*$C75</f>
        <v>0</v>
      </c>
      <c r="J75" s="19">
        <f t="shared" ref="J75" si="255">H75*$D75</f>
        <v>0</v>
      </c>
      <c r="K75" s="39">
        <f>'Setoran 1'!E75</f>
        <v>0</v>
      </c>
      <c r="L75" s="19">
        <f t="shared" ref="L75" si="256">K75*$C75</f>
        <v>0</v>
      </c>
      <c r="M75" s="19">
        <f t="shared" ref="M75" si="257">K75*$D75</f>
        <v>0</v>
      </c>
      <c r="N75" s="39">
        <f>'Setoran 1'!F75</f>
        <v>0</v>
      </c>
      <c r="O75" s="19">
        <f t="shared" ref="O75" si="258">N75*$C75</f>
        <v>0</v>
      </c>
      <c r="P75" s="19">
        <f t="shared" ref="P75" si="259">N75*$D75</f>
        <v>0</v>
      </c>
      <c r="Q75" s="39">
        <f>'Setoran 1'!G75</f>
        <v>0</v>
      </c>
      <c r="R75" s="19">
        <f t="shared" ref="R75" si="260">Q75*$C75</f>
        <v>0</v>
      </c>
      <c r="S75" s="19">
        <f t="shared" ref="S75" si="261">Q75*$D75</f>
        <v>0</v>
      </c>
      <c r="T75" s="39">
        <f>'Setoran 1'!H75</f>
        <v>0</v>
      </c>
      <c r="U75" s="19">
        <f t="shared" ref="U75" si="262">T75*$C75</f>
        <v>0</v>
      </c>
      <c r="V75" s="19">
        <f t="shared" ref="V75" si="263">T75*$D75</f>
        <v>0</v>
      </c>
      <c r="W75" s="39">
        <f>'Setoran 1'!I75</f>
        <v>0</v>
      </c>
      <c r="X75" s="19">
        <f t="shared" ref="X75" si="264">W75*$C75</f>
        <v>0</v>
      </c>
      <c r="Y75" s="19">
        <f t="shared" ref="Y75" si="265">W75*$D75</f>
        <v>0</v>
      </c>
      <c r="Z75" s="39">
        <f>'Setoran 1'!J75</f>
        <v>0</v>
      </c>
      <c r="AA75" s="19">
        <f t="shared" ref="AA75" si="266">Z75*$C75</f>
        <v>0</v>
      </c>
      <c r="AB75" s="19">
        <f t="shared" ref="AB75" si="267">Z75*$D75</f>
        <v>0</v>
      </c>
      <c r="AC75" s="39">
        <f>'Setoran 1'!K75</f>
        <v>0</v>
      </c>
      <c r="AD75" s="19">
        <f t="shared" ref="AD75" si="268">AC75*$C75</f>
        <v>0</v>
      </c>
      <c r="AE75" s="19">
        <f t="shared" ref="AE75" si="269">AC75*$D75</f>
        <v>0</v>
      </c>
      <c r="AF75" s="38">
        <f>'Setoran 1'!L75</f>
        <v>0</v>
      </c>
      <c r="AG75" s="19">
        <f t="shared" ref="AG75" si="270">AF75*$C75</f>
        <v>0</v>
      </c>
      <c r="AH75" s="19">
        <f t="shared" ref="AH75" si="271">AF75*$D75</f>
        <v>0</v>
      </c>
      <c r="AI75" s="38">
        <f>'Setoran 1'!M75</f>
        <v>0</v>
      </c>
      <c r="AJ75" s="19">
        <f t="shared" ref="AJ75" si="272">AI75*$C75</f>
        <v>0</v>
      </c>
      <c r="AK75" s="19">
        <f t="shared" ref="AK75" si="273">AI75*$D75</f>
        <v>0</v>
      </c>
      <c r="AL75" s="38">
        <f>'Setoran 1'!N75</f>
        <v>0</v>
      </c>
      <c r="AM75" s="19">
        <f t="shared" ref="AM75" si="274">AL75*$C75</f>
        <v>0</v>
      </c>
      <c r="AN75" s="19">
        <f t="shared" ref="AN75" si="275">AL75*$D75</f>
        <v>0</v>
      </c>
      <c r="AO75" s="38">
        <f>'Setoran 1'!O75</f>
        <v>0</v>
      </c>
      <c r="AP75" s="19">
        <f t="shared" si="108"/>
        <v>0</v>
      </c>
      <c r="AQ75" s="19">
        <f t="shared" si="109"/>
        <v>0</v>
      </c>
      <c r="AR75" s="38">
        <f>'Setoran 1'!P75</f>
        <v>0</v>
      </c>
      <c r="AS75" s="19">
        <f t="shared" si="94"/>
        <v>0</v>
      </c>
      <c r="AT75" s="19">
        <f t="shared" si="95"/>
        <v>0</v>
      </c>
      <c r="AU75" s="38">
        <f>'Setoran 1'!Q75</f>
        <v>0</v>
      </c>
      <c r="AV75" s="19">
        <f t="shared" si="96"/>
        <v>0</v>
      </c>
      <c r="AW75" s="19">
        <f t="shared" si="97"/>
        <v>0</v>
      </c>
      <c r="AX75" s="39">
        <f t="shared" si="98"/>
        <v>0</v>
      </c>
      <c r="AY75" s="38">
        <f t="shared" si="99"/>
        <v>0</v>
      </c>
      <c r="AZ75" s="21">
        <f t="shared" si="100"/>
        <v>0</v>
      </c>
      <c r="BA75" s="22">
        <f t="shared" si="101"/>
        <v>0</v>
      </c>
    </row>
    <row r="76" spans="1:53" ht="14.5" customHeight="1" x14ac:dyDescent="0.2">
      <c r="A76" s="23"/>
      <c r="B76" s="25"/>
      <c r="C76" s="45"/>
      <c r="D76" s="45"/>
      <c r="E76" s="18"/>
      <c r="F76" s="19"/>
      <c r="G76" s="19"/>
      <c r="H76" s="18"/>
      <c r="I76" s="19"/>
      <c r="J76" s="19"/>
      <c r="K76" s="18"/>
      <c r="L76" s="19"/>
      <c r="M76" s="19"/>
      <c r="N76" s="18"/>
      <c r="O76" s="19"/>
      <c r="P76" s="19"/>
      <c r="Q76" s="18"/>
      <c r="R76" s="19"/>
      <c r="S76" s="19"/>
      <c r="T76" s="18"/>
      <c r="U76" s="19"/>
      <c r="V76" s="19"/>
      <c r="W76" s="18"/>
      <c r="X76" s="19"/>
      <c r="Y76" s="19"/>
      <c r="Z76" s="18"/>
      <c r="AA76" s="19"/>
      <c r="AB76" s="19"/>
      <c r="AC76" s="18"/>
      <c r="AD76" s="19"/>
      <c r="AE76" s="19"/>
      <c r="AF76" s="31"/>
      <c r="AG76" s="19"/>
      <c r="AH76" s="19"/>
      <c r="AI76" s="31"/>
      <c r="AJ76" s="19"/>
      <c r="AK76" s="19"/>
      <c r="AL76" s="31"/>
      <c r="AM76" s="19"/>
      <c r="AN76" s="19"/>
      <c r="AO76" s="31"/>
      <c r="AP76" s="19"/>
      <c r="AQ76" s="19"/>
      <c r="AR76" s="31"/>
      <c r="AS76" s="19"/>
      <c r="AT76" s="19"/>
      <c r="AU76" s="31"/>
      <c r="AV76" s="19"/>
      <c r="AW76" s="19"/>
      <c r="AX76" s="18"/>
      <c r="AY76" s="20"/>
      <c r="AZ76" s="21"/>
      <c r="BA76" s="22"/>
    </row>
    <row r="77" spans="1:53" s="36" customFormat="1" ht="14.5" customHeight="1" x14ac:dyDescent="0.2">
      <c r="A77" s="78" t="str">
        <f>'Data '!A74</f>
        <v>TOTAL</v>
      </c>
      <c r="B77" s="78"/>
      <c r="C77" s="78"/>
      <c r="D77" s="78"/>
      <c r="E77" s="33">
        <f t="shared" ref="E77:AJ77" si="276">SUM(E8:E76)</f>
        <v>29.99</v>
      </c>
      <c r="F77" s="34">
        <f t="shared" si="276"/>
        <v>12104.25</v>
      </c>
      <c r="G77" s="34">
        <f t="shared" si="276"/>
        <v>14451</v>
      </c>
      <c r="H77" s="33">
        <f t="shared" si="276"/>
        <v>9.15</v>
      </c>
      <c r="I77" s="34">
        <f t="shared" si="276"/>
        <v>6044.75</v>
      </c>
      <c r="J77" s="34">
        <f t="shared" si="276"/>
        <v>6996</v>
      </c>
      <c r="K77" s="33">
        <f t="shared" si="276"/>
        <v>25.6</v>
      </c>
      <c r="L77" s="34">
        <f t="shared" si="276"/>
        <v>28160</v>
      </c>
      <c r="M77" s="34">
        <f t="shared" si="276"/>
        <v>30720</v>
      </c>
      <c r="N77" s="33">
        <f t="shared" si="276"/>
        <v>9.43</v>
      </c>
      <c r="O77" s="34">
        <f t="shared" si="276"/>
        <v>7257.75</v>
      </c>
      <c r="P77" s="34">
        <f t="shared" si="276"/>
        <v>8823</v>
      </c>
      <c r="Q77" s="33">
        <f t="shared" si="276"/>
        <v>24.44</v>
      </c>
      <c r="R77" s="34">
        <f t="shared" si="276"/>
        <v>11609.5</v>
      </c>
      <c r="S77" s="34">
        <f t="shared" si="276"/>
        <v>13391</v>
      </c>
      <c r="T77" s="33">
        <f t="shared" si="276"/>
        <v>19.21</v>
      </c>
      <c r="U77" s="34">
        <f t="shared" si="276"/>
        <v>14629.75</v>
      </c>
      <c r="V77" s="34">
        <f t="shared" si="276"/>
        <v>16578</v>
      </c>
      <c r="W77" s="33">
        <f t="shared" si="276"/>
        <v>74.090000000000018</v>
      </c>
      <c r="X77" s="34">
        <f t="shared" si="276"/>
        <v>71282</v>
      </c>
      <c r="Y77" s="34">
        <f t="shared" si="276"/>
        <v>79524</v>
      </c>
      <c r="Z77" s="33">
        <f t="shared" si="276"/>
        <v>2.6700000000000004</v>
      </c>
      <c r="AA77" s="34">
        <f t="shared" si="276"/>
        <v>1274</v>
      </c>
      <c r="AB77" s="34">
        <f t="shared" si="276"/>
        <v>1500</v>
      </c>
      <c r="AC77" s="33">
        <f t="shared" si="276"/>
        <v>69.959999999999994</v>
      </c>
      <c r="AD77" s="34">
        <f t="shared" si="276"/>
        <v>54939</v>
      </c>
      <c r="AE77" s="34">
        <f t="shared" si="276"/>
        <v>60404</v>
      </c>
      <c r="AF77" s="33">
        <f t="shared" si="276"/>
        <v>7.410000000000001</v>
      </c>
      <c r="AG77" s="34">
        <f t="shared" si="276"/>
        <v>7440.25</v>
      </c>
      <c r="AH77" s="34">
        <f t="shared" si="276"/>
        <v>8352</v>
      </c>
      <c r="AI77" s="33">
        <f t="shared" si="276"/>
        <v>0</v>
      </c>
      <c r="AJ77" s="34">
        <f t="shared" si="276"/>
        <v>0</v>
      </c>
      <c r="AK77" s="34">
        <f t="shared" ref="AK77:BA77" si="277">SUM(AK8:AK76)</f>
        <v>0</v>
      </c>
      <c r="AL77" s="33">
        <f t="shared" si="277"/>
        <v>0</v>
      </c>
      <c r="AM77" s="34">
        <f t="shared" si="277"/>
        <v>0</v>
      </c>
      <c r="AN77" s="34">
        <f t="shared" si="277"/>
        <v>0</v>
      </c>
      <c r="AO77" s="33">
        <f t="shared" si="277"/>
        <v>0</v>
      </c>
      <c r="AP77" s="34">
        <f t="shared" si="277"/>
        <v>0</v>
      </c>
      <c r="AQ77" s="34">
        <f t="shared" si="277"/>
        <v>0</v>
      </c>
      <c r="AR77" s="33">
        <f t="shared" si="277"/>
        <v>0</v>
      </c>
      <c r="AS77" s="34">
        <f t="shared" si="277"/>
        <v>0</v>
      </c>
      <c r="AT77" s="34">
        <f t="shared" si="277"/>
        <v>0</v>
      </c>
      <c r="AU77" s="35">
        <f t="shared" si="277"/>
        <v>0</v>
      </c>
      <c r="AV77" s="34">
        <f t="shared" si="277"/>
        <v>0</v>
      </c>
      <c r="AW77" s="34">
        <f t="shared" si="277"/>
        <v>0</v>
      </c>
      <c r="AX77" s="33">
        <f t="shared" si="277"/>
        <v>271.95</v>
      </c>
      <c r="AY77" s="33">
        <f t="shared" si="277"/>
        <v>214741.25</v>
      </c>
      <c r="AZ77" s="34">
        <f t="shared" si="277"/>
        <v>240739</v>
      </c>
      <c r="BA77" s="34">
        <f t="shared" si="277"/>
        <v>25997.75</v>
      </c>
    </row>
    <row r="78" spans="1:53" ht="14.5" customHeight="1" x14ac:dyDescent="0.2">
      <c r="A78" s="5" t="s">
        <v>54</v>
      </c>
      <c r="B78" s="5"/>
      <c r="C78" s="44"/>
      <c r="D78" s="44"/>
      <c r="E78" s="18"/>
      <c r="F78" s="19"/>
      <c r="G78" s="19"/>
      <c r="H78" s="18"/>
      <c r="I78" s="19"/>
      <c r="J78" s="19"/>
      <c r="K78" s="18"/>
      <c r="L78" s="19"/>
      <c r="M78" s="19"/>
      <c r="N78" s="18"/>
      <c r="O78" s="19"/>
      <c r="P78" s="19"/>
      <c r="Q78" s="18"/>
      <c r="R78" s="19"/>
      <c r="S78" s="19"/>
      <c r="T78" s="18"/>
      <c r="U78" s="19"/>
      <c r="V78" s="19"/>
      <c r="W78" s="18"/>
      <c r="X78" s="19"/>
      <c r="Y78" s="19"/>
      <c r="Z78" s="18"/>
      <c r="AA78" s="19"/>
      <c r="AB78" s="19"/>
      <c r="AC78" s="18"/>
      <c r="AD78" s="19"/>
      <c r="AE78" s="19"/>
      <c r="AF78" s="31"/>
      <c r="AG78" s="19"/>
      <c r="AH78" s="19"/>
      <c r="AI78" s="31"/>
      <c r="AJ78" s="19"/>
      <c r="AK78" s="19"/>
      <c r="AL78" s="31"/>
      <c r="AM78" s="19"/>
      <c r="AN78" s="19"/>
      <c r="AO78" s="31"/>
      <c r="AP78" s="19"/>
      <c r="AQ78" s="19"/>
      <c r="AR78" s="31"/>
      <c r="AS78" s="19"/>
      <c r="AT78" s="19"/>
      <c r="AU78" s="31"/>
      <c r="AV78" s="19"/>
      <c r="AW78" s="19"/>
      <c r="AX78" s="27"/>
      <c r="AY78" s="20"/>
      <c r="AZ78" s="21"/>
      <c r="BA78" s="28"/>
    </row>
    <row r="79" spans="1:53" ht="14.5" customHeight="1" x14ac:dyDescent="0.2">
      <c r="A79" s="27"/>
      <c r="B79" s="28"/>
      <c r="C79" s="46"/>
      <c r="D79" s="46"/>
      <c r="E79" s="18"/>
      <c r="F79" s="19"/>
      <c r="G79" s="19"/>
      <c r="H79" s="18"/>
      <c r="I79" s="19"/>
      <c r="J79" s="19"/>
      <c r="K79" s="18"/>
      <c r="L79" s="19"/>
      <c r="M79" s="19"/>
      <c r="N79" s="18"/>
      <c r="O79" s="19"/>
      <c r="P79" s="19"/>
      <c r="Q79" s="18"/>
      <c r="R79" s="19"/>
      <c r="S79" s="19"/>
      <c r="T79" s="18"/>
      <c r="U79" s="19"/>
      <c r="V79" s="19"/>
      <c r="W79" s="18"/>
      <c r="X79" s="19"/>
      <c r="Y79" s="19"/>
      <c r="Z79" s="18"/>
      <c r="AA79" s="19"/>
      <c r="AB79" s="19"/>
      <c r="AC79" s="18"/>
      <c r="AD79" s="19"/>
      <c r="AE79" s="19"/>
      <c r="AF79" s="31"/>
      <c r="AG79" s="19"/>
      <c r="AH79" s="19"/>
      <c r="AI79" s="31"/>
      <c r="AJ79" s="19"/>
      <c r="AK79" s="19"/>
      <c r="AL79" s="31"/>
      <c r="AM79" s="19"/>
      <c r="AN79" s="19"/>
      <c r="AO79" s="31"/>
      <c r="AP79" s="19"/>
      <c r="AQ79" s="19"/>
      <c r="AR79" s="31"/>
      <c r="AS79" s="19"/>
      <c r="AT79" s="19"/>
      <c r="AU79" s="31"/>
      <c r="AV79" s="19"/>
      <c r="AW79" s="19"/>
      <c r="AX79" s="27"/>
      <c r="AY79" s="20"/>
      <c r="AZ79" s="21"/>
      <c r="BA79" s="28"/>
    </row>
    <row r="80" spans="1:53" ht="14.5" customHeight="1" x14ac:dyDescent="0.2">
      <c r="A80" s="27"/>
      <c r="B80" s="28"/>
      <c r="C80" s="46"/>
      <c r="D80" s="46"/>
      <c r="E80" s="18"/>
      <c r="F80" s="19"/>
      <c r="G80" s="19"/>
      <c r="H80" s="18"/>
      <c r="I80" s="19"/>
      <c r="J80" s="19"/>
      <c r="K80" s="18"/>
      <c r="L80" s="19"/>
      <c r="M80" s="19"/>
      <c r="N80" s="18"/>
      <c r="O80" s="19"/>
      <c r="P80" s="19"/>
      <c r="Q80" s="18"/>
      <c r="R80" s="19"/>
      <c r="S80" s="19"/>
      <c r="T80" s="18"/>
      <c r="U80" s="19"/>
      <c r="V80" s="19"/>
      <c r="W80" s="18"/>
      <c r="X80" s="19"/>
      <c r="Y80" s="19"/>
      <c r="Z80" s="18"/>
      <c r="AA80" s="19"/>
      <c r="AB80" s="19"/>
      <c r="AC80" s="18"/>
      <c r="AD80" s="19"/>
      <c r="AE80" s="19"/>
      <c r="AF80" s="31"/>
      <c r="AG80" s="19"/>
      <c r="AH80" s="19"/>
      <c r="AI80" s="31"/>
      <c r="AJ80" s="19"/>
      <c r="AK80" s="19"/>
      <c r="AL80" s="31"/>
      <c r="AM80" s="19"/>
      <c r="AN80" s="19"/>
      <c r="AO80" s="31"/>
      <c r="AP80" s="19"/>
      <c r="AQ80" s="19"/>
      <c r="AR80" s="31"/>
      <c r="AS80" s="19"/>
      <c r="AT80" s="19"/>
      <c r="AU80" s="31"/>
      <c r="AV80" s="19"/>
      <c r="AW80" s="19"/>
      <c r="AX80" s="27"/>
      <c r="AY80" s="20"/>
      <c r="AZ80" s="21"/>
      <c r="BA80" s="28"/>
    </row>
  </sheetData>
  <mergeCells count="31">
    <mergeCell ref="A1:V1"/>
    <mergeCell ref="A4:A6"/>
    <mergeCell ref="B4:B6"/>
    <mergeCell ref="C4:C6"/>
    <mergeCell ref="D4:D6"/>
    <mergeCell ref="E4:AW4"/>
    <mergeCell ref="W5:Y5"/>
    <mergeCell ref="Z5:AB5"/>
    <mergeCell ref="AC5:AE5"/>
    <mergeCell ref="AU5:AW5"/>
    <mergeCell ref="A2:L2"/>
    <mergeCell ref="AZ4:AZ6"/>
    <mergeCell ref="BA4:BA6"/>
    <mergeCell ref="E5:G5"/>
    <mergeCell ref="H5:J5"/>
    <mergeCell ref="K5:M5"/>
    <mergeCell ref="N5:P5"/>
    <mergeCell ref="Q5:S5"/>
    <mergeCell ref="T5:V5"/>
    <mergeCell ref="AL5:AN5"/>
    <mergeCell ref="AO5:AQ5"/>
    <mergeCell ref="AR5:AT5"/>
    <mergeCell ref="AX4:AX6"/>
    <mergeCell ref="AY4:AY6"/>
    <mergeCell ref="A77:D77"/>
    <mergeCell ref="AF5:AH5"/>
    <mergeCell ref="AI5:AK5"/>
    <mergeCell ref="A7:B7"/>
    <mergeCell ref="A15:B15"/>
    <mergeCell ref="A27:B27"/>
    <mergeCell ref="A31:B3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9EA4-9847-41CA-AEF5-E94FC12E761E}">
  <dimension ref="A1:BA80"/>
  <sheetViews>
    <sheetView zoomScale="120" zoomScaleNormal="120" workbookViewId="0">
      <pane xSplit="4" ySplit="6" topLeftCell="AQ73" activePane="bottomRight" state="frozen"/>
      <selection pane="topRight" activeCell="E1" sqref="E1"/>
      <selection pane="bottomLeft" activeCell="A7" sqref="A7"/>
      <selection pane="bottomRight" activeCell="E18" sqref="E18"/>
    </sheetView>
  </sheetViews>
  <sheetFormatPr baseColWidth="10" defaultColWidth="8.83203125" defaultRowHeight="15" x14ac:dyDescent="0.2"/>
  <cols>
    <col min="1" max="1" width="9.5" style="15" customWidth="1"/>
    <col min="2" max="2" width="18.33203125" style="15" customWidth="1"/>
    <col min="3" max="3" width="8.83203125" style="47"/>
    <col min="4" max="4" width="11.5" style="47" bestFit="1" customWidth="1"/>
    <col min="5" max="5" width="8.83203125" style="10"/>
    <col min="6" max="7" width="10.6640625" style="11" customWidth="1"/>
    <col min="8" max="8" width="8.83203125" style="10"/>
    <col min="9" max="10" width="10.6640625" style="11" customWidth="1"/>
    <col min="11" max="11" width="8.83203125" style="10"/>
    <col min="12" max="13" width="10.6640625" style="11" customWidth="1"/>
    <col min="14" max="14" width="8.83203125" style="10"/>
    <col min="15" max="16" width="10.6640625" style="11" customWidth="1"/>
    <col min="17" max="17" width="8.83203125" style="10"/>
    <col min="18" max="19" width="10.6640625" style="11" customWidth="1"/>
    <col min="20" max="20" width="8.83203125" style="10"/>
    <col min="21" max="22" width="10.6640625" style="11" customWidth="1"/>
    <col min="23" max="23" width="8.83203125" style="10"/>
    <col min="24" max="25" width="10.6640625" style="11" customWidth="1"/>
    <col min="26" max="26" width="8.83203125" style="10"/>
    <col min="27" max="28" width="10.6640625" style="11" customWidth="1"/>
    <col min="29" max="29" width="8.83203125" style="10"/>
    <col min="30" max="31" width="10.6640625" style="11" customWidth="1"/>
    <col min="32" max="32" width="8.83203125" style="29"/>
    <col min="33" max="34" width="10.6640625" style="11" customWidth="1"/>
    <col min="35" max="35" width="8.83203125" style="29"/>
    <col min="36" max="37" width="10.6640625" style="11" customWidth="1"/>
    <col min="38" max="38" width="8.83203125" style="29"/>
    <col min="39" max="40" width="10.6640625" style="11" customWidth="1"/>
    <col min="41" max="41" width="8.83203125" style="29"/>
    <col min="42" max="43" width="10.6640625" style="11" customWidth="1"/>
    <col min="44" max="44" width="8.83203125" style="29"/>
    <col min="45" max="46" width="10.6640625" style="11" customWidth="1"/>
    <col min="47" max="47" width="8.83203125" style="29"/>
    <col min="48" max="49" width="10.6640625" style="11" customWidth="1"/>
    <col min="50" max="50" width="8.83203125" style="12"/>
    <col min="51" max="51" width="12.6640625" style="13" customWidth="1"/>
    <col min="52" max="52" width="12.6640625" style="14" customWidth="1"/>
    <col min="53" max="53" width="12.6640625" style="15" customWidth="1"/>
    <col min="54" max="16384" width="8.83203125" style="15"/>
  </cols>
  <sheetData>
    <row r="1" spans="1:53" ht="19" x14ac:dyDescent="0.2">
      <c r="A1" s="94" t="str">
        <f>'Setoran 1'!A1:R1</f>
        <v>REKAP JUAL BELI SAMPAH NASABAH BALI ARUM (BALI WASTE CYCLE)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</row>
    <row r="2" spans="1:53" ht="18" customHeight="1" x14ac:dyDescent="0.2">
      <c r="A2" s="94" t="str">
        <f>'Data '!A2</f>
        <v>TANGGAL : 8 Agustus2026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37"/>
      <c r="N2" s="37"/>
      <c r="O2" s="37"/>
      <c r="P2" s="37"/>
      <c r="Q2" s="37"/>
      <c r="R2" s="37"/>
      <c r="S2" s="37"/>
      <c r="T2" s="37"/>
      <c r="U2" s="37"/>
      <c r="V2" s="37"/>
    </row>
    <row r="4" spans="1:53" s="12" customFormat="1" ht="14.5" customHeight="1" x14ac:dyDescent="0.2">
      <c r="A4" s="83" t="s">
        <v>63</v>
      </c>
      <c r="B4" s="83" t="s">
        <v>62</v>
      </c>
      <c r="C4" s="95" t="s">
        <v>61</v>
      </c>
      <c r="D4" s="86" t="s">
        <v>3</v>
      </c>
      <c r="E4" s="98" t="s">
        <v>55</v>
      </c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81" t="s">
        <v>53</v>
      </c>
      <c r="AY4" s="93" t="s">
        <v>64</v>
      </c>
      <c r="AZ4" s="82" t="s">
        <v>65</v>
      </c>
      <c r="BA4" s="83" t="s">
        <v>66</v>
      </c>
    </row>
    <row r="5" spans="1:53" s="12" customFormat="1" ht="14.5" customHeight="1" x14ac:dyDescent="0.2">
      <c r="A5" s="83"/>
      <c r="B5" s="83"/>
      <c r="C5" s="96"/>
      <c r="D5" s="86"/>
      <c r="E5" s="92">
        <f>'Setoran 2'!C6</f>
        <v>0</v>
      </c>
      <c r="F5" s="92"/>
      <c r="G5" s="92"/>
      <c r="H5" s="92">
        <f>'Setoran 2'!D6</f>
        <v>0</v>
      </c>
      <c r="I5" s="92"/>
      <c r="J5" s="92"/>
      <c r="K5" s="92">
        <f>'Setoran 2'!E6</f>
        <v>0</v>
      </c>
      <c r="L5" s="92"/>
      <c r="M5" s="92"/>
      <c r="N5" s="92">
        <f>'Setoran 2'!F6</f>
        <v>0</v>
      </c>
      <c r="O5" s="92"/>
      <c r="P5" s="92"/>
      <c r="Q5" s="92">
        <f>'Setoran 2'!G6</f>
        <v>0</v>
      </c>
      <c r="R5" s="92"/>
      <c r="S5" s="92"/>
      <c r="T5" s="92">
        <f>'Setoran 2'!H6</f>
        <v>0</v>
      </c>
      <c r="U5" s="92"/>
      <c r="V5" s="92"/>
      <c r="W5" s="92">
        <f>'Setoran 2'!I6</f>
        <v>0</v>
      </c>
      <c r="X5" s="92"/>
      <c r="Y5" s="92"/>
      <c r="Z5" s="92">
        <f>'Setoran 2'!J6</f>
        <v>0</v>
      </c>
      <c r="AA5" s="92"/>
      <c r="AB5" s="92"/>
      <c r="AC5" s="92">
        <f>'Setoran 2'!K6</f>
        <v>0</v>
      </c>
      <c r="AD5" s="92"/>
      <c r="AE5" s="92"/>
      <c r="AF5" s="92">
        <f>'Setoran 2'!L6</f>
        <v>0</v>
      </c>
      <c r="AG5" s="92"/>
      <c r="AH5" s="92"/>
      <c r="AI5" s="92">
        <f>'Setoran 2'!M6</f>
        <v>0</v>
      </c>
      <c r="AJ5" s="92"/>
      <c r="AK5" s="92"/>
      <c r="AL5" s="92">
        <f>'Setoran 2'!N6</f>
        <v>0</v>
      </c>
      <c r="AM5" s="92"/>
      <c r="AN5" s="92"/>
      <c r="AO5" s="92">
        <f>'Setoran 2'!O6</f>
        <v>0</v>
      </c>
      <c r="AP5" s="92"/>
      <c r="AQ5" s="92"/>
      <c r="AR5" s="92">
        <f>'Setoran 2'!P6</f>
        <v>0</v>
      </c>
      <c r="AS5" s="92"/>
      <c r="AT5" s="92"/>
      <c r="AU5" s="92">
        <f>'Setoran 2'!Q6</f>
        <v>0</v>
      </c>
      <c r="AV5" s="92"/>
      <c r="AW5" s="92"/>
      <c r="AX5" s="81"/>
      <c r="AY5" s="93"/>
      <c r="AZ5" s="82"/>
      <c r="BA5" s="83"/>
    </row>
    <row r="6" spans="1:53" s="12" customFormat="1" ht="29" customHeight="1" x14ac:dyDescent="0.2">
      <c r="A6" s="83"/>
      <c r="B6" s="83"/>
      <c r="C6" s="97"/>
      <c r="D6" s="86"/>
      <c r="E6" s="16" t="s">
        <v>56</v>
      </c>
      <c r="F6" s="17" t="s">
        <v>58</v>
      </c>
      <c r="G6" s="17" t="s">
        <v>57</v>
      </c>
      <c r="H6" s="16" t="s">
        <v>56</v>
      </c>
      <c r="I6" s="17" t="s">
        <v>58</v>
      </c>
      <c r="J6" s="17" t="s">
        <v>57</v>
      </c>
      <c r="K6" s="16" t="s">
        <v>56</v>
      </c>
      <c r="L6" s="17" t="s">
        <v>58</v>
      </c>
      <c r="M6" s="17" t="s">
        <v>57</v>
      </c>
      <c r="N6" s="16" t="s">
        <v>56</v>
      </c>
      <c r="O6" s="17" t="s">
        <v>58</v>
      </c>
      <c r="P6" s="17" t="s">
        <v>57</v>
      </c>
      <c r="Q6" s="16" t="s">
        <v>56</v>
      </c>
      <c r="R6" s="17" t="s">
        <v>58</v>
      </c>
      <c r="S6" s="17" t="s">
        <v>57</v>
      </c>
      <c r="T6" s="16" t="s">
        <v>56</v>
      </c>
      <c r="U6" s="17" t="s">
        <v>58</v>
      </c>
      <c r="V6" s="17" t="s">
        <v>57</v>
      </c>
      <c r="W6" s="16" t="s">
        <v>56</v>
      </c>
      <c r="X6" s="17" t="s">
        <v>58</v>
      </c>
      <c r="Y6" s="17" t="s">
        <v>57</v>
      </c>
      <c r="Z6" s="16" t="s">
        <v>56</v>
      </c>
      <c r="AA6" s="17" t="s">
        <v>58</v>
      </c>
      <c r="AB6" s="17" t="s">
        <v>57</v>
      </c>
      <c r="AC6" s="16" t="s">
        <v>56</v>
      </c>
      <c r="AD6" s="17" t="s">
        <v>58</v>
      </c>
      <c r="AE6" s="17" t="s">
        <v>57</v>
      </c>
      <c r="AF6" s="30" t="s">
        <v>56</v>
      </c>
      <c r="AG6" s="17" t="s">
        <v>58</v>
      </c>
      <c r="AH6" s="17" t="s">
        <v>57</v>
      </c>
      <c r="AI6" s="30" t="s">
        <v>56</v>
      </c>
      <c r="AJ6" s="17" t="s">
        <v>58</v>
      </c>
      <c r="AK6" s="17" t="s">
        <v>57</v>
      </c>
      <c r="AL6" s="30" t="s">
        <v>56</v>
      </c>
      <c r="AM6" s="17" t="s">
        <v>58</v>
      </c>
      <c r="AN6" s="17" t="s">
        <v>57</v>
      </c>
      <c r="AO6" s="30" t="s">
        <v>56</v>
      </c>
      <c r="AP6" s="17" t="s">
        <v>58</v>
      </c>
      <c r="AQ6" s="17" t="s">
        <v>57</v>
      </c>
      <c r="AR6" s="30" t="s">
        <v>56</v>
      </c>
      <c r="AS6" s="17" t="s">
        <v>58</v>
      </c>
      <c r="AT6" s="17" t="s">
        <v>57</v>
      </c>
      <c r="AU6" s="30" t="s">
        <v>56</v>
      </c>
      <c r="AV6" s="17" t="s">
        <v>58</v>
      </c>
      <c r="AW6" s="17" t="s">
        <v>57</v>
      </c>
      <c r="AX6" s="81"/>
      <c r="AY6" s="93"/>
      <c r="AZ6" s="82"/>
      <c r="BA6" s="83"/>
    </row>
    <row r="7" spans="1:53" ht="14.5" customHeight="1" x14ac:dyDescent="0.2">
      <c r="A7" s="78" t="s">
        <v>4</v>
      </c>
      <c r="B7" s="78"/>
      <c r="C7" s="40"/>
      <c r="D7" s="40"/>
      <c r="E7" s="18"/>
      <c r="F7" s="19"/>
      <c r="G7" s="19"/>
      <c r="H7" s="18"/>
      <c r="I7" s="19"/>
      <c r="J7" s="19"/>
      <c r="K7" s="18"/>
      <c r="L7" s="19"/>
      <c r="M7" s="19"/>
      <c r="N7" s="18"/>
      <c r="O7" s="19"/>
      <c r="P7" s="19"/>
      <c r="Q7" s="18"/>
      <c r="R7" s="19"/>
      <c r="S7" s="19"/>
      <c r="T7" s="18"/>
      <c r="U7" s="19"/>
      <c r="V7" s="19"/>
      <c r="W7" s="18"/>
      <c r="X7" s="19"/>
      <c r="Y7" s="19"/>
      <c r="Z7" s="18"/>
      <c r="AA7" s="19"/>
      <c r="AB7" s="19"/>
      <c r="AC7" s="18"/>
      <c r="AD7" s="19"/>
      <c r="AE7" s="19"/>
      <c r="AF7" s="31"/>
      <c r="AG7" s="19"/>
      <c r="AH7" s="19"/>
      <c r="AI7" s="31"/>
      <c r="AJ7" s="19"/>
      <c r="AK7" s="19"/>
      <c r="AL7" s="31"/>
      <c r="AM7" s="19"/>
      <c r="AN7" s="19"/>
      <c r="AO7" s="31"/>
      <c r="AP7" s="19"/>
      <c r="AQ7" s="19"/>
      <c r="AR7" s="31"/>
      <c r="AS7" s="19"/>
      <c r="AT7" s="19"/>
      <c r="AU7" s="31"/>
      <c r="AV7" s="19"/>
      <c r="AW7" s="19"/>
      <c r="AX7" s="28"/>
      <c r="AY7" s="28"/>
      <c r="AZ7" s="28"/>
      <c r="BA7" s="28"/>
    </row>
    <row r="8" spans="1:53" ht="14.5" customHeight="1" x14ac:dyDescent="0.2">
      <c r="A8" s="23">
        <v>1</v>
      </c>
      <c r="B8" s="53" t="s">
        <v>72</v>
      </c>
      <c r="C8" s="57">
        <f>'Data '!C8</f>
        <v>400</v>
      </c>
      <c r="D8" s="57">
        <f>'Data '!D8</f>
        <v>500</v>
      </c>
      <c r="E8" s="39">
        <f>'Setoran 2'!C8</f>
        <v>0</v>
      </c>
      <c r="F8" s="19">
        <f>E8*$C8</f>
        <v>0</v>
      </c>
      <c r="G8" s="19">
        <f>E8*$D8</f>
        <v>0</v>
      </c>
      <c r="H8" s="39">
        <f>'Setoran 2'!D8</f>
        <v>0</v>
      </c>
      <c r="I8" s="19">
        <f>H8*$C8</f>
        <v>0</v>
      </c>
      <c r="J8" s="19">
        <f>H8*$D8</f>
        <v>0</v>
      </c>
      <c r="K8" s="39">
        <f>'Setoran 2'!E8</f>
        <v>0</v>
      </c>
      <c r="L8" s="19">
        <f>K8*$C8</f>
        <v>0</v>
      </c>
      <c r="M8" s="19">
        <f>K8*$D8</f>
        <v>0</v>
      </c>
      <c r="N8" s="39">
        <f>'Setoran 2'!F8</f>
        <v>0</v>
      </c>
      <c r="O8" s="19">
        <f>N8*$C8</f>
        <v>0</v>
      </c>
      <c r="P8" s="19">
        <f>N8*$D8</f>
        <v>0</v>
      </c>
      <c r="Q8" s="39">
        <f>'Setoran 2'!G8</f>
        <v>0</v>
      </c>
      <c r="R8" s="19">
        <f>Q8*$C8</f>
        <v>0</v>
      </c>
      <c r="S8" s="19">
        <f>Q8*$D8</f>
        <v>0</v>
      </c>
      <c r="T8" s="39">
        <f>'Setoran 2'!H8</f>
        <v>0</v>
      </c>
      <c r="U8" s="19">
        <f>T8*$C8</f>
        <v>0</v>
      </c>
      <c r="V8" s="19">
        <f>T8*$D8</f>
        <v>0</v>
      </c>
      <c r="W8" s="39">
        <f>'Setoran 2'!I8</f>
        <v>0</v>
      </c>
      <c r="X8" s="19">
        <f>W8*$C8</f>
        <v>0</v>
      </c>
      <c r="Y8" s="19">
        <f>W8*$D8</f>
        <v>0</v>
      </c>
      <c r="Z8" s="39">
        <f>'Setoran 2'!J8</f>
        <v>0</v>
      </c>
      <c r="AA8" s="19">
        <f>Z8*$C8</f>
        <v>0</v>
      </c>
      <c r="AB8" s="19">
        <f>Z8*$D8</f>
        <v>0</v>
      </c>
      <c r="AC8" s="39">
        <f>'Setoran 2'!K8</f>
        <v>0</v>
      </c>
      <c r="AD8" s="19">
        <f>AC8*$C8</f>
        <v>0</v>
      </c>
      <c r="AE8" s="19">
        <f>AC8*$D8</f>
        <v>0</v>
      </c>
      <c r="AF8" s="38">
        <f>'Setoran 2'!L8</f>
        <v>0</v>
      </c>
      <c r="AG8" s="19">
        <f>AF8*$C8</f>
        <v>0</v>
      </c>
      <c r="AH8" s="19">
        <f>AF8*$D8</f>
        <v>0</v>
      </c>
      <c r="AI8" s="38">
        <f>'Setoran 2'!M8</f>
        <v>0</v>
      </c>
      <c r="AJ8" s="19">
        <f>AI8*$C8</f>
        <v>0</v>
      </c>
      <c r="AK8" s="19">
        <f>AI8*$D8</f>
        <v>0</v>
      </c>
      <c r="AL8" s="38">
        <f>'Setoran 2'!N8</f>
        <v>0</v>
      </c>
      <c r="AM8" s="19">
        <f>AL8*$C8</f>
        <v>0</v>
      </c>
      <c r="AN8" s="19">
        <f>AL8*$D8</f>
        <v>0</v>
      </c>
      <c r="AO8" s="38">
        <f>'Setoran 2'!O8</f>
        <v>0</v>
      </c>
      <c r="AP8" s="19">
        <f>AO8*$C8</f>
        <v>0</v>
      </c>
      <c r="AQ8" s="19">
        <f>AO8*$D8</f>
        <v>0</v>
      </c>
      <c r="AR8" s="38">
        <f>'Setoran 2'!P8</f>
        <v>0</v>
      </c>
      <c r="AS8" s="19">
        <f>AR8*$C8</f>
        <v>0</v>
      </c>
      <c r="AT8" s="19">
        <f>AR8*$D8</f>
        <v>0</v>
      </c>
      <c r="AU8" s="38">
        <f>'Setoran 2'!Q8</f>
        <v>0</v>
      </c>
      <c r="AV8" s="19">
        <f>AU8*$C8</f>
        <v>0</v>
      </c>
      <c r="AW8" s="19">
        <f>AU8*$D8</f>
        <v>0</v>
      </c>
      <c r="AX8" s="39">
        <f>SUM(E8,H8,K8,N8,Q8,T8,W8,Z8,AC8,AF8,AI8,AL8,AO8,AR8,AU8)</f>
        <v>0</v>
      </c>
      <c r="AY8" s="38">
        <f>SUM(F8,I8,L8,O8,R8,U8,X8,AA8,AD8,,AG8,AJ8,AM8,AP8,AS8,AV8)</f>
        <v>0</v>
      </c>
      <c r="AZ8" s="21">
        <f>SUM(G8,J8,M8,P8,S8,V8,Y8,AB8,AE8,AH8,AK8,AN8,AQ8,AT8,AW8)</f>
        <v>0</v>
      </c>
      <c r="BA8" s="22">
        <f>AZ8-AY8</f>
        <v>0</v>
      </c>
    </row>
    <row r="9" spans="1:53" ht="14.5" customHeight="1" x14ac:dyDescent="0.2">
      <c r="A9" s="23">
        <v>2</v>
      </c>
      <c r="B9" s="53" t="s">
        <v>5</v>
      </c>
      <c r="C9" s="57">
        <f>'Data '!C9</f>
        <v>400</v>
      </c>
      <c r="D9" s="57">
        <f>'Data '!D9</f>
        <v>500</v>
      </c>
      <c r="E9" s="39">
        <f>'Setoran 2'!C9</f>
        <v>0</v>
      </c>
      <c r="F9" s="19">
        <f t="shared" ref="F9:F72" si="0">E9*$C9</f>
        <v>0</v>
      </c>
      <c r="G9" s="19">
        <f t="shared" ref="G9:G72" si="1">E9*$D9</f>
        <v>0</v>
      </c>
      <c r="H9" s="39">
        <f>'Setoran 2'!D9</f>
        <v>0</v>
      </c>
      <c r="I9" s="19">
        <f t="shared" ref="I9:I72" si="2">H9*$C9</f>
        <v>0</v>
      </c>
      <c r="J9" s="19">
        <f t="shared" ref="J9:J72" si="3">H9*$D9</f>
        <v>0</v>
      </c>
      <c r="K9" s="39">
        <f>'Setoran 2'!E9</f>
        <v>0</v>
      </c>
      <c r="L9" s="19">
        <f t="shared" ref="L9:L72" si="4">K9*$C9</f>
        <v>0</v>
      </c>
      <c r="M9" s="19">
        <f t="shared" ref="M9:M72" si="5">K9*$D9</f>
        <v>0</v>
      </c>
      <c r="N9" s="39">
        <f>'Setoran 2'!F9</f>
        <v>0</v>
      </c>
      <c r="O9" s="19">
        <f t="shared" ref="O9:O72" si="6">N9*$C9</f>
        <v>0</v>
      </c>
      <c r="P9" s="19">
        <f t="shared" ref="P9:P72" si="7">N9*$D9</f>
        <v>0</v>
      </c>
      <c r="Q9" s="39">
        <f>'Setoran 2'!G9</f>
        <v>0</v>
      </c>
      <c r="R9" s="19">
        <f t="shared" ref="R9:R72" si="8">Q9*$C9</f>
        <v>0</v>
      </c>
      <c r="S9" s="19">
        <f t="shared" ref="S9:S72" si="9">Q9*$D9</f>
        <v>0</v>
      </c>
      <c r="T9" s="39">
        <f>'Setoran 2'!H9</f>
        <v>0</v>
      </c>
      <c r="U9" s="19">
        <f t="shared" ref="U9:U72" si="10">T9*$C9</f>
        <v>0</v>
      </c>
      <c r="V9" s="19">
        <f t="shared" ref="V9:V72" si="11">T9*$D9</f>
        <v>0</v>
      </c>
      <c r="W9" s="39">
        <f>'Setoran 2'!I9</f>
        <v>0</v>
      </c>
      <c r="X9" s="19">
        <f t="shared" ref="X9:X72" si="12">W9*$C9</f>
        <v>0</v>
      </c>
      <c r="Y9" s="19">
        <f t="shared" ref="Y9:Y72" si="13">W9*$D9</f>
        <v>0</v>
      </c>
      <c r="Z9" s="39">
        <f>'Setoran 2'!J9</f>
        <v>0</v>
      </c>
      <c r="AA9" s="19">
        <f t="shared" ref="AA9:AA72" si="14">Z9*$C9</f>
        <v>0</v>
      </c>
      <c r="AB9" s="19">
        <f t="shared" ref="AB9:AB72" si="15">Z9*$D9</f>
        <v>0</v>
      </c>
      <c r="AC9" s="39">
        <f>'Setoran 2'!K9</f>
        <v>0</v>
      </c>
      <c r="AD9" s="19">
        <f t="shared" ref="AD9:AD72" si="16">AC9*$C9</f>
        <v>0</v>
      </c>
      <c r="AE9" s="19">
        <f t="shared" ref="AE9:AE72" si="17">AC9*$D9</f>
        <v>0</v>
      </c>
      <c r="AF9" s="38">
        <f>'Setoran 2'!L9</f>
        <v>0</v>
      </c>
      <c r="AG9" s="19">
        <f t="shared" ref="AG9:AG72" si="18">AF9*$C9</f>
        <v>0</v>
      </c>
      <c r="AH9" s="19">
        <f t="shared" ref="AH9:AH72" si="19">AF9*$D9</f>
        <v>0</v>
      </c>
      <c r="AI9" s="38">
        <f>'Setoran 2'!M9</f>
        <v>0</v>
      </c>
      <c r="AJ9" s="19">
        <f t="shared" ref="AJ9:AJ72" si="20">AI9*$C9</f>
        <v>0</v>
      </c>
      <c r="AK9" s="19">
        <f t="shared" ref="AK9:AK72" si="21">AI9*$D9</f>
        <v>0</v>
      </c>
      <c r="AL9" s="38">
        <f>'Setoran 2'!N9</f>
        <v>0</v>
      </c>
      <c r="AM9" s="19">
        <f t="shared" ref="AM9:AM72" si="22">AL9*$C9</f>
        <v>0</v>
      </c>
      <c r="AN9" s="19">
        <f t="shared" ref="AN9:AN72" si="23">AL9*$D9</f>
        <v>0</v>
      </c>
      <c r="AO9" s="38">
        <f>'Setoran 2'!O9</f>
        <v>0</v>
      </c>
      <c r="AP9" s="19">
        <f t="shared" ref="AP9:AP72" si="24">AO9*$C9</f>
        <v>0</v>
      </c>
      <c r="AQ9" s="19">
        <f t="shared" ref="AQ9:AQ72" si="25">AO9*$D9</f>
        <v>0</v>
      </c>
      <c r="AR9" s="38">
        <f>'Setoran 2'!P9</f>
        <v>0</v>
      </c>
      <c r="AS9" s="19">
        <f t="shared" ref="AS9:AS72" si="26">AR9*$C9</f>
        <v>0</v>
      </c>
      <c r="AT9" s="19">
        <f t="shared" ref="AT9:AT72" si="27">AR9*$D9</f>
        <v>0</v>
      </c>
      <c r="AU9" s="38">
        <f>'Setoran 2'!Q9</f>
        <v>0</v>
      </c>
      <c r="AV9" s="19">
        <f t="shared" ref="AV9:AV72" si="28">AU9*$C9</f>
        <v>0</v>
      </c>
      <c r="AW9" s="19">
        <f t="shared" ref="AW9:AW72" si="29">AU9*$D9</f>
        <v>0</v>
      </c>
      <c r="AX9" s="39">
        <f t="shared" ref="AX9:AX72" si="30">SUM(E9,H9,K9,N9,Q9,T9,W9,Z9,AC9,AF9,AI9,AL9,AO9,AR9,AU9)</f>
        <v>0</v>
      </c>
      <c r="AY9" s="38">
        <f t="shared" ref="AY9:AY72" si="31">SUM(F9,I9,L9,O9,R9,U9,X9,AA9,AD9,,AG9,AJ9,AM9,AP9,AS9,AV9)</f>
        <v>0</v>
      </c>
      <c r="AZ9" s="21">
        <f t="shared" ref="AZ9:AZ72" si="32">SUM(G9,J9,M9,P9,S9,V9,Y9,AB9,AE9,AH9,AK9,AN9,AQ9,AT9,AW9)</f>
        <v>0</v>
      </c>
      <c r="BA9" s="22">
        <f t="shared" ref="BA9:BA72" si="33">AZ9-AY9</f>
        <v>0</v>
      </c>
    </row>
    <row r="10" spans="1:53" ht="14.5" customHeight="1" x14ac:dyDescent="0.2">
      <c r="A10" s="23">
        <v>3</v>
      </c>
      <c r="B10" s="53" t="s">
        <v>73</v>
      </c>
      <c r="C10" s="57">
        <f>'Data '!C10</f>
        <v>300</v>
      </c>
      <c r="D10" s="57">
        <f>'Data '!D10</f>
        <v>400</v>
      </c>
      <c r="E10" s="39">
        <f>'Setoran 2'!C10</f>
        <v>0</v>
      </c>
      <c r="F10" s="19">
        <f t="shared" si="0"/>
        <v>0</v>
      </c>
      <c r="G10" s="19">
        <f t="shared" si="1"/>
        <v>0</v>
      </c>
      <c r="H10" s="39">
        <f>'Setoran 2'!D10</f>
        <v>0</v>
      </c>
      <c r="I10" s="19">
        <f t="shared" si="2"/>
        <v>0</v>
      </c>
      <c r="J10" s="19">
        <f t="shared" si="3"/>
        <v>0</v>
      </c>
      <c r="K10" s="39">
        <f>'Setoran 2'!E10</f>
        <v>0</v>
      </c>
      <c r="L10" s="19">
        <f t="shared" si="4"/>
        <v>0</v>
      </c>
      <c r="M10" s="19">
        <f t="shared" si="5"/>
        <v>0</v>
      </c>
      <c r="N10" s="39">
        <f>'Setoran 2'!F10</f>
        <v>0</v>
      </c>
      <c r="O10" s="19">
        <f t="shared" si="6"/>
        <v>0</v>
      </c>
      <c r="P10" s="19">
        <f t="shared" si="7"/>
        <v>0</v>
      </c>
      <c r="Q10" s="39">
        <f>'Setoran 2'!G10</f>
        <v>0</v>
      </c>
      <c r="R10" s="19">
        <f t="shared" si="8"/>
        <v>0</v>
      </c>
      <c r="S10" s="19">
        <f t="shared" si="9"/>
        <v>0</v>
      </c>
      <c r="T10" s="39">
        <f>'Setoran 2'!H10</f>
        <v>0</v>
      </c>
      <c r="U10" s="19">
        <f t="shared" si="10"/>
        <v>0</v>
      </c>
      <c r="V10" s="19">
        <f t="shared" si="11"/>
        <v>0</v>
      </c>
      <c r="W10" s="39">
        <f>'Setoran 2'!I10</f>
        <v>0</v>
      </c>
      <c r="X10" s="19">
        <f t="shared" si="12"/>
        <v>0</v>
      </c>
      <c r="Y10" s="19">
        <f t="shared" si="13"/>
        <v>0</v>
      </c>
      <c r="Z10" s="39">
        <f>'Setoran 2'!J10</f>
        <v>0</v>
      </c>
      <c r="AA10" s="19">
        <f t="shared" si="14"/>
        <v>0</v>
      </c>
      <c r="AB10" s="19">
        <f t="shared" si="15"/>
        <v>0</v>
      </c>
      <c r="AC10" s="39">
        <f>'Setoran 2'!K10</f>
        <v>0</v>
      </c>
      <c r="AD10" s="19">
        <f t="shared" si="16"/>
        <v>0</v>
      </c>
      <c r="AE10" s="19">
        <f t="shared" si="17"/>
        <v>0</v>
      </c>
      <c r="AF10" s="38">
        <f>'Setoran 2'!L10</f>
        <v>0</v>
      </c>
      <c r="AG10" s="19">
        <f t="shared" si="18"/>
        <v>0</v>
      </c>
      <c r="AH10" s="19">
        <f t="shared" si="19"/>
        <v>0</v>
      </c>
      <c r="AI10" s="38">
        <f>'Setoran 2'!M10</f>
        <v>0</v>
      </c>
      <c r="AJ10" s="19">
        <f t="shared" si="20"/>
        <v>0</v>
      </c>
      <c r="AK10" s="19">
        <f t="shared" si="21"/>
        <v>0</v>
      </c>
      <c r="AL10" s="38">
        <f>'Setoran 2'!N10</f>
        <v>0</v>
      </c>
      <c r="AM10" s="19">
        <f t="shared" si="22"/>
        <v>0</v>
      </c>
      <c r="AN10" s="19">
        <f t="shared" si="23"/>
        <v>0</v>
      </c>
      <c r="AO10" s="38">
        <f>'Setoran 2'!O10</f>
        <v>0</v>
      </c>
      <c r="AP10" s="19">
        <f t="shared" si="24"/>
        <v>0</v>
      </c>
      <c r="AQ10" s="19">
        <f t="shared" si="25"/>
        <v>0</v>
      </c>
      <c r="AR10" s="38">
        <f>'Setoran 2'!P10</f>
        <v>0</v>
      </c>
      <c r="AS10" s="19">
        <f t="shared" si="26"/>
        <v>0</v>
      </c>
      <c r="AT10" s="19">
        <f t="shared" si="27"/>
        <v>0</v>
      </c>
      <c r="AU10" s="38">
        <f>'Setoran 2'!Q10</f>
        <v>0</v>
      </c>
      <c r="AV10" s="19">
        <f t="shared" si="28"/>
        <v>0</v>
      </c>
      <c r="AW10" s="19">
        <f t="shared" si="29"/>
        <v>0</v>
      </c>
      <c r="AX10" s="39">
        <f t="shared" si="30"/>
        <v>0</v>
      </c>
      <c r="AY10" s="38">
        <f t="shared" si="31"/>
        <v>0</v>
      </c>
      <c r="AZ10" s="21">
        <f t="shared" si="32"/>
        <v>0</v>
      </c>
      <c r="BA10" s="22">
        <f t="shared" si="33"/>
        <v>0</v>
      </c>
    </row>
    <row r="11" spans="1:53" ht="14.5" customHeight="1" x14ac:dyDescent="0.2">
      <c r="A11" s="23">
        <v>4</v>
      </c>
      <c r="B11" s="53" t="s">
        <v>6</v>
      </c>
      <c r="C11" s="57">
        <f>'Data '!C11</f>
        <v>2800</v>
      </c>
      <c r="D11" s="57">
        <f>'Data '!D11</f>
        <v>3000</v>
      </c>
      <c r="E11" s="39">
        <f>'Setoran 2'!C11</f>
        <v>0</v>
      </c>
      <c r="F11" s="19">
        <f t="shared" si="0"/>
        <v>0</v>
      </c>
      <c r="G11" s="19">
        <f t="shared" si="1"/>
        <v>0</v>
      </c>
      <c r="H11" s="39">
        <f>'Setoran 2'!D11</f>
        <v>0</v>
      </c>
      <c r="I11" s="19">
        <f t="shared" si="2"/>
        <v>0</v>
      </c>
      <c r="J11" s="19">
        <f t="shared" si="3"/>
        <v>0</v>
      </c>
      <c r="K11" s="39">
        <f>'Setoran 2'!E11</f>
        <v>0</v>
      </c>
      <c r="L11" s="19">
        <f t="shared" si="4"/>
        <v>0</v>
      </c>
      <c r="M11" s="19">
        <f t="shared" si="5"/>
        <v>0</v>
      </c>
      <c r="N11" s="39">
        <f>'Setoran 2'!F11</f>
        <v>0</v>
      </c>
      <c r="O11" s="19">
        <f t="shared" si="6"/>
        <v>0</v>
      </c>
      <c r="P11" s="19">
        <f t="shared" si="7"/>
        <v>0</v>
      </c>
      <c r="Q11" s="39">
        <f>'Setoran 2'!G11</f>
        <v>0</v>
      </c>
      <c r="R11" s="19">
        <f t="shared" si="8"/>
        <v>0</v>
      </c>
      <c r="S11" s="19">
        <f t="shared" si="9"/>
        <v>0</v>
      </c>
      <c r="T11" s="39">
        <f>'Setoran 2'!H11</f>
        <v>0</v>
      </c>
      <c r="U11" s="19">
        <f t="shared" si="10"/>
        <v>0</v>
      </c>
      <c r="V11" s="19">
        <f t="shared" si="11"/>
        <v>0</v>
      </c>
      <c r="W11" s="39">
        <f>'Setoran 2'!I11</f>
        <v>0</v>
      </c>
      <c r="X11" s="19">
        <f t="shared" si="12"/>
        <v>0</v>
      </c>
      <c r="Y11" s="19">
        <f t="shared" si="13"/>
        <v>0</v>
      </c>
      <c r="Z11" s="39">
        <f>'Setoran 2'!J11</f>
        <v>0</v>
      </c>
      <c r="AA11" s="19">
        <f t="shared" si="14"/>
        <v>0</v>
      </c>
      <c r="AB11" s="19">
        <f t="shared" si="15"/>
        <v>0</v>
      </c>
      <c r="AC11" s="39">
        <f>'Setoran 2'!K11</f>
        <v>0</v>
      </c>
      <c r="AD11" s="19">
        <f t="shared" si="16"/>
        <v>0</v>
      </c>
      <c r="AE11" s="19">
        <f t="shared" si="17"/>
        <v>0</v>
      </c>
      <c r="AF11" s="38">
        <f>'Setoran 2'!L11</f>
        <v>0</v>
      </c>
      <c r="AG11" s="19">
        <f t="shared" si="18"/>
        <v>0</v>
      </c>
      <c r="AH11" s="19">
        <f t="shared" si="19"/>
        <v>0</v>
      </c>
      <c r="AI11" s="38">
        <f>'Setoran 2'!M11</f>
        <v>0</v>
      </c>
      <c r="AJ11" s="19">
        <f t="shared" si="20"/>
        <v>0</v>
      </c>
      <c r="AK11" s="19">
        <f t="shared" si="21"/>
        <v>0</v>
      </c>
      <c r="AL11" s="38">
        <f>'Setoran 2'!N11</f>
        <v>0</v>
      </c>
      <c r="AM11" s="19">
        <f t="shared" si="22"/>
        <v>0</v>
      </c>
      <c r="AN11" s="19">
        <f t="shared" si="23"/>
        <v>0</v>
      </c>
      <c r="AO11" s="38">
        <f>'Setoran 2'!O11</f>
        <v>0</v>
      </c>
      <c r="AP11" s="19">
        <f t="shared" si="24"/>
        <v>0</v>
      </c>
      <c r="AQ11" s="19">
        <f t="shared" si="25"/>
        <v>0</v>
      </c>
      <c r="AR11" s="38">
        <f>'Setoran 2'!P11</f>
        <v>0</v>
      </c>
      <c r="AS11" s="19">
        <f t="shared" si="26"/>
        <v>0</v>
      </c>
      <c r="AT11" s="19">
        <f t="shared" si="27"/>
        <v>0</v>
      </c>
      <c r="AU11" s="38">
        <f>'Setoran 2'!Q11</f>
        <v>0</v>
      </c>
      <c r="AV11" s="19">
        <f t="shared" si="28"/>
        <v>0</v>
      </c>
      <c r="AW11" s="19">
        <f t="shared" si="29"/>
        <v>0</v>
      </c>
      <c r="AX11" s="39">
        <f t="shared" si="30"/>
        <v>0</v>
      </c>
      <c r="AY11" s="38">
        <f t="shared" si="31"/>
        <v>0</v>
      </c>
      <c r="AZ11" s="21">
        <f t="shared" si="32"/>
        <v>0</v>
      </c>
      <c r="BA11" s="22">
        <f t="shared" si="33"/>
        <v>0</v>
      </c>
    </row>
    <row r="12" spans="1:53" ht="14.5" customHeight="1" x14ac:dyDescent="0.2">
      <c r="A12" s="23">
        <v>5</v>
      </c>
      <c r="B12" s="53" t="s">
        <v>7</v>
      </c>
      <c r="C12" s="57">
        <f>'Data '!C12</f>
        <v>2400</v>
      </c>
      <c r="D12" s="57">
        <f>'Data '!D12</f>
        <v>2500</v>
      </c>
      <c r="E12" s="39">
        <f>'Setoran 2'!C12</f>
        <v>0</v>
      </c>
      <c r="F12" s="19">
        <f t="shared" si="0"/>
        <v>0</v>
      </c>
      <c r="G12" s="19">
        <f t="shared" si="1"/>
        <v>0</v>
      </c>
      <c r="H12" s="39">
        <f>'Setoran 2'!D12</f>
        <v>0</v>
      </c>
      <c r="I12" s="19">
        <f t="shared" si="2"/>
        <v>0</v>
      </c>
      <c r="J12" s="19">
        <f t="shared" si="3"/>
        <v>0</v>
      </c>
      <c r="K12" s="39">
        <f>'Setoran 2'!E12</f>
        <v>0</v>
      </c>
      <c r="L12" s="19">
        <f t="shared" si="4"/>
        <v>0</v>
      </c>
      <c r="M12" s="19">
        <f t="shared" si="5"/>
        <v>0</v>
      </c>
      <c r="N12" s="39">
        <f>'Setoran 2'!F12</f>
        <v>0</v>
      </c>
      <c r="O12" s="19">
        <f t="shared" si="6"/>
        <v>0</v>
      </c>
      <c r="P12" s="19">
        <f t="shared" si="7"/>
        <v>0</v>
      </c>
      <c r="Q12" s="39">
        <f>'Setoran 2'!G12</f>
        <v>0</v>
      </c>
      <c r="R12" s="19">
        <f t="shared" si="8"/>
        <v>0</v>
      </c>
      <c r="S12" s="19">
        <f t="shared" si="9"/>
        <v>0</v>
      </c>
      <c r="T12" s="39">
        <f>'Setoran 2'!H12</f>
        <v>0</v>
      </c>
      <c r="U12" s="19">
        <f t="shared" si="10"/>
        <v>0</v>
      </c>
      <c r="V12" s="19">
        <f t="shared" si="11"/>
        <v>0</v>
      </c>
      <c r="W12" s="39">
        <f>'Setoran 2'!I12</f>
        <v>0</v>
      </c>
      <c r="X12" s="19">
        <f t="shared" si="12"/>
        <v>0</v>
      </c>
      <c r="Y12" s="19">
        <f t="shared" si="13"/>
        <v>0</v>
      </c>
      <c r="Z12" s="39">
        <f>'Setoran 2'!J12</f>
        <v>0</v>
      </c>
      <c r="AA12" s="19">
        <f t="shared" si="14"/>
        <v>0</v>
      </c>
      <c r="AB12" s="19">
        <f t="shared" si="15"/>
        <v>0</v>
      </c>
      <c r="AC12" s="39">
        <f>'Setoran 2'!K12</f>
        <v>0</v>
      </c>
      <c r="AD12" s="19">
        <f t="shared" si="16"/>
        <v>0</v>
      </c>
      <c r="AE12" s="19">
        <f t="shared" si="17"/>
        <v>0</v>
      </c>
      <c r="AF12" s="38">
        <f>'Setoran 2'!L12</f>
        <v>0</v>
      </c>
      <c r="AG12" s="19">
        <f t="shared" si="18"/>
        <v>0</v>
      </c>
      <c r="AH12" s="19">
        <f t="shared" si="19"/>
        <v>0</v>
      </c>
      <c r="AI12" s="38">
        <f>'Setoran 2'!M12</f>
        <v>0</v>
      </c>
      <c r="AJ12" s="19">
        <f t="shared" si="20"/>
        <v>0</v>
      </c>
      <c r="AK12" s="19">
        <f t="shared" si="21"/>
        <v>0</v>
      </c>
      <c r="AL12" s="38">
        <f>'Setoran 2'!N12</f>
        <v>0</v>
      </c>
      <c r="AM12" s="19">
        <f t="shared" si="22"/>
        <v>0</v>
      </c>
      <c r="AN12" s="19">
        <f t="shared" si="23"/>
        <v>0</v>
      </c>
      <c r="AO12" s="38">
        <f>'Setoran 2'!O12</f>
        <v>0</v>
      </c>
      <c r="AP12" s="19">
        <f t="shared" si="24"/>
        <v>0</v>
      </c>
      <c r="AQ12" s="19">
        <f t="shared" si="25"/>
        <v>0</v>
      </c>
      <c r="AR12" s="38">
        <f>'Setoran 2'!P12</f>
        <v>0</v>
      </c>
      <c r="AS12" s="19">
        <f t="shared" si="26"/>
        <v>0</v>
      </c>
      <c r="AT12" s="19">
        <f t="shared" si="27"/>
        <v>0</v>
      </c>
      <c r="AU12" s="38">
        <f>'Setoran 2'!Q12</f>
        <v>0</v>
      </c>
      <c r="AV12" s="19">
        <f t="shared" si="28"/>
        <v>0</v>
      </c>
      <c r="AW12" s="19">
        <f t="shared" si="29"/>
        <v>0</v>
      </c>
      <c r="AX12" s="39">
        <f t="shared" si="30"/>
        <v>0</v>
      </c>
      <c r="AY12" s="38">
        <f t="shared" si="31"/>
        <v>0</v>
      </c>
      <c r="AZ12" s="21">
        <f t="shared" si="32"/>
        <v>0</v>
      </c>
      <c r="BA12" s="22">
        <f t="shared" si="33"/>
        <v>0</v>
      </c>
    </row>
    <row r="13" spans="1:53" ht="14.5" customHeight="1" x14ac:dyDescent="0.2">
      <c r="A13" s="23">
        <v>6</v>
      </c>
      <c r="B13" s="53" t="s">
        <v>8</v>
      </c>
      <c r="C13" s="57">
        <f>'Data '!C13</f>
        <v>700</v>
      </c>
      <c r="D13" s="57">
        <f>'Data '!D13</f>
        <v>800</v>
      </c>
      <c r="E13" s="39">
        <f>'Setoran 2'!C13</f>
        <v>0</v>
      </c>
      <c r="F13" s="19">
        <f t="shared" si="0"/>
        <v>0</v>
      </c>
      <c r="G13" s="19">
        <f t="shared" si="1"/>
        <v>0</v>
      </c>
      <c r="H13" s="39">
        <f>'Setoran 2'!D13</f>
        <v>0</v>
      </c>
      <c r="I13" s="19">
        <f t="shared" si="2"/>
        <v>0</v>
      </c>
      <c r="J13" s="19">
        <f t="shared" si="3"/>
        <v>0</v>
      </c>
      <c r="K13" s="39">
        <f>'Setoran 2'!E13</f>
        <v>0</v>
      </c>
      <c r="L13" s="19">
        <f t="shared" si="4"/>
        <v>0</v>
      </c>
      <c r="M13" s="19">
        <f t="shared" si="5"/>
        <v>0</v>
      </c>
      <c r="N13" s="39">
        <f>'Setoran 2'!F13</f>
        <v>0</v>
      </c>
      <c r="O13" s="19">
        <f t="shared" si="6"/>
        <v>0</v>
      </c>
      <c r="P13" s="19">
        <f t="shared" si="7"/>
        <v>0</v>
      </c>
      <c r="Q13" s="39">
        <f>'Setoran 2'!G13</f>
        <v>0</v>
      </c>
      <c r="R13" s="19">
        <f t="shared" si="8"/>
        <v>0</v>
      </c>
      <c r="S13" s="19">
        <f t="shared" si="9"/>
        <v>0</v>
      </c>
      <c r="T13" s="39">
        <f>'Setoran 2'!H13</f>
        <v>0</v>
      </c>
      <c r="U13" s="19">
        <f t="shared" si="10"/>
        <v>0</v>
      </c>
      <c r="V13" s="19">
        <f t="shared" si="11"/>
        <v>0</v>
      </c>
      <c r="W13" s="39">
        <f>'Setoran 2'!I13</f>
        <v>0</v>
      </c>
      <c r="X13" s="19">
        <f t="shared" si="12"/>
        <v>0</v>
      </c>
      <c r="Y13" s="19">
        <f t="shared" si="13"/>
        <v>0</v>
      </c>
      <c r="Z13" s="39">
        <f>'Setoran 2'!J13</f>
        <v>0</v>
      </c>
      <c r="AA13" s="19">
        <f t="shared" si="14"/>
        <v>0</v>
      </c>
      <c r="AB13" s="19">
        <f t="shared" si="15"/>
        <v>0</v>
      </c>
      <c r="AC13" s="39">
        <f>'Setoran 2'!K13</f>
        <v>0</v>
      </c>
      <c r="AD13" s="19">
        <f t="shared" si="16"/>
        <v>0</v>
      </c>
      <c r="AE13" s="19">
        <f t="shared" si="17"/>
        <v>0</v>
      </c>
      <c r="AF13" s="38">
        <f>'Setoran 2'!L13</f>
        <v>0</v>
      </c>
      <c r="AG13" s="19">
        <f t="shared" si="18"/>
        <v>0</v>
      </c>
      <c r="AH13" s="19">
        <f t="shared" si="19"/>
        <v>0</v>
      </c>
      <c r="AI13" s="38">
        <f>'Setoran 2'!M13</f>
        <v>0</v>
      </c>
      <c r="AJ13" s="19">
        <f t="shared" si="20"/>
        <v>0</v>
      </c>
      <c r="AK13" s="19">
        <f t="shared" si="21"/>
        <v>0</v>
      </c>
      <c r="AL13" s="38">
        <f>'Setoran 2'!N13</f>
        <v>0</v>
      </c>
      <c r="AM13" s="19">
        <f t="shared" si="22"/>
        <v>0</v>
      </c>
      <c r="AN13" s="19">
        <f t="shared" si="23"/>
        <v>0</v>
      </c>
      <c r="AO13" s="38">
        <f>'Setoran 2'!O13</f>
        <v>0</v>
      </c>
      <c r="AP13" s="19">
        <f t="shared" si="24"/>
        <v>0</v>
      </c>
      <c r="AQ13" s="19">
        <f t="shared" si="25"/>
        <v>0</v>
      </c>
      <c r="AR13" s="38">
        <f>'Setoran 2'!P13</f>
        <v>0</v>
      </c>
      <c r="AS13" s="19">
        <f t="shared" si="26"/>
        <v>0</v>
      </c>
      <c r="AT13" s="19">
        <f t="shared" si="27"/>
        <v>0</v>
      </c>
      <c r="AU13" s="38">
        <f>'Setoran 2'!Q13</f>
        <v>0</v>
      </c>
      <c r="AV13" s="19">
        <f t="shared" si="28"/>
        <v>0</v>
      </c>
      <c r="AW13" s="19">
        <f t="shared" si="29"/>
        <v>0</v>
      </c>
      <c r="AX13" s="39">
        <f t="shared" si="30"/>
        <v>0</v>
      </c>
      <c r="AY13" s="38">
        <f t="shared" si="31"/>
        <v>0</v>
      </c>
      <c r="AZ13" s="21">
        <f t="shared" si="32"/>
        <v>0</v>
      </c>
      <c r="BA13" s="22">
        <f t="shared" si="33"/>
        <v>0</v>
      </c>
    </row>
    <row r="14" spans="1:53" ht="14.5" customHeight="1" x14ac:dyDescent="0.2">
      <c r="A14" s="23">
        <v>7</v>
      </c>
      <c r="B14" s="53" t="s">
        <v>9</v>
      </c>
      <c r="C14" s="57">
        <f>'Data '!C14</f>
        <v>1600</v>
      </c>
      <c r="D14" s="57">
        <f>'Data '!D14</f>
        <v>1700</v>
      </c>
      <c r="E14" s="39">
        <f>'Setoran 2'!C14</f>
        <v>0</v>
      </c>
      <c r="F14" s="19">
        <f t="shared" si="0"/>
        <v>0</v>
      </c>
      <c r="G14" s="19">
        <f t="shared" si="1"/>
        <v>0</v>
      </c>
      <c r="H14" s="39">
        <f>'Setoran 2'!D14</f>
        <v>0</v>
      </c>
      <c r="I14" s="19">
        <f t="shared" si="2"/>
        <v>0</v>
      </c>
      <c r="J14" s="19">
        <f t="shared" si="3"/>
        <v>0</v>
      </c>
      <c r="K14" s="39">
        <f>'Setoran 2'!E14</f>
        <v>0</v>
      </c>
      <c r="L14" s="19">
        <f t="shared" si="4"/>
        <v>0</v>
      </c>
      <c r="M14" s="19">
        <f t="shared" si="5"/>
        <v>0</v>
      </c>
      <c r="N14" s="39">
        <f>'Setoran 2'!F14</f>
        <v>0</v>
      </c>
      <c r="O14" s="19">
        <f t="shared" si="6"/>
        <v>0</v>
      </c>
      <c r="P14" s="19">
        <f t="shared" si="7"/>
        <v>0</v>
      </c>
      <c r="Q14" s="39">
        <f>'Setoran 2'!G14</f>
        <v>0</v>
      </c>
      <c r="R14" s="19">
        <f t="shared" si="8"/>
        <v>0</v>
      </c>
      <c r="S14" s="19">
        <f t="shared" si="9"/>
        <v>0</v>
      </c>
      <c r="T14" s="39">
        <f>'Setoran 2'!H14</f>
        <v>0</v>
      </c>
      <c r="U14" s="19">
        <f t="shared" si="10"/>
        <v>0</v>
      </c>
      <c r="V14" s="19">
        <f t="shared" si="11"/>
        <v>0</v>
      </c>
      <c r="W14" s="39">
        <f>'Setoran 2'!I14</f>
        <v>0</v>
      </c>
      <c r="X14" s="19">
        <f t="shared" si="12"/>
        <v>0</v>
      </c>
      <c r="Y14" s="19">
        <f t="shared" si="13"/>
        <v>0</v>
      </c>
      <c r="Z14" s="39">
        <f>'Setoran 2'!J14</f>
        <v>0</v>
      </c>
      <c r="AA14" s="19">
        <f t="shared" si="14"/>
        <v>0</v>
      </c>
      <c r="AB14" s="19">
        <f t="shared" si="15"/>
        <v>0</v>
      </c>
      <c r="AC14" s="39">
        <f>'Setoran 2'!K14</f>
        <v>0</v>
      </c>
      <c r="AD14" s="19">
        <f t="shared" si="16"/>
        <v>0</v>
      </c>
      <c r="AE14" s="19">
        <f t="shared" si="17"/>
        <v>0</v>
      </c>
      <c r="AF14" s="38">
        <f>'Setoran 2'!L14</f>
        <v>0</v>
      </c>
      <c r="AG14" s="19">
        <f t="shared" si="18"/>
        <v>0</v>
      </c>
      <c r="AH14" s="19">
        <f t="shared" si="19"/>
        <v>0</v>
      </c>
      <c r="AI14" s="38">
        <f>'Setoran 2'!M14</f>
        <v>0</v>
      </c>
      <c r="AJ14" s="19">
        <f t="shared" si="20"/>
        <v>0</v>
      </c>
      <c r="AK14" s="19">
        <f t="shared" si="21"/>
        <v>0</v>
      </c>
      <c r="AL14" s="38">
        <f>'Setoran 2'!N14</f>
        <v>0</v>
      </c>
      <c r="AM14" s="19">
        <f t="shared" si="22"/>
        <v>0</v>
      </c>
      <c r="AN14" s="19">
        <f t="shared" si="23"/>
        <v>0</v>
      </c>
      <c r="AO14" s="38">
        <f>'Setoran 2'!O14</f>
        <v>0</v>
      </c>
      <c r="AP14" s="19">
        <f t="shared" si="24"/>
        <v>0</v>
      </c>
      <c r="AQ14" s="19">
        <f t="shared" si="25"/>
        <v>0</v>
      </c>
      <c r="AR14" s="38">
        <f>'Setoran 2'!P14</f>
        <v>0</v>
      </c>
      <c r="AS14" s="19">
        <f t="shared" si="26"/>
        <v>0</v>
      </c>
      <c r="AT14" s="19">
        <f t="shared" si="27"/>
        <v>0</v>
      </c>
      <c r="AU14" s="38">
        <f>'Setoran 2'!Q14</f>
        <v>0</v>
      </c>
      <c r="AV14" s="19">
        <f t="shared" si="28"/>
        <v>0</v>
      </c>
      <c r="AW14" s="19">
        <f t="shared" si="29"/>
        <v>0</v>
      </c>
      <c r="AX14" s="39">
        <f t="shared" si="30"/>
        <v>0</v>
      </c>
      <c r="AY14" s="38">
        <f t="shared" si="31"/>
        <v>0</v>
      </c>
      <c r="AZ14" s="21">
        <f t="shared" si="32"/>
        <v>0</v>
      </c>
      <c r="BA14" s="22">
        <f t="shared" si="33"/>
        <v>0</v>
      </c>
    </row>
    <row r="15" spans="1:53" ht="14.5" customHeight="1" x14ac:dyDescent="0.2">
      <c r="A15" s="78" t="s">
        <v>74</v>
      </c>
      <c r="B15" s="78"/>
      <c r="C15" s="59"/>
      <c r="D15" s="59"/>
      <c r="E15" s="39"/>
      <c r="F15" s="19"/>
      <c r="G15" s="19"/>
      <c r="H15" s="39"/>
      <c r="I15" s="19"/>
      <c r="J15" s="19"/>
      <c r="K15" s="39"/>
      <c r="L15" s="19"/>
      <c r="M15" s="19"/>
      <c r="N15" s="39"/>
      <c r="O15" s="19"/>
      <c r="P15" s="19"/>
      <c r="Q15" s="39"/>
      <c r="R15" s="19"/>
      <c r="S15" s="19"/>
      <c r="T15" s="39"/>
      <c r="U15" s="19"/>
      <c r="V15" s="19"/>
      <c r="W15" s="39"/>
      <c r="X15" s="19"/>
      <c r="Y15" s="19"/>
      <c r="Z15" s="39"/>
      <c r="AA15" s="19"/>
      <c r="AB15" s="19"/>
      <c r="AC15" s="39"/>
      <c r="AD15" s="19"/>
      <c r="AE15" s="19"/>
      <c r="AF15" s="38"/>
      <c r="AG15" s="19"/>
      <c r="AH15" s="19"/>
      <c r="AI15" s="38"/>
      <c r="AJ15" s="19"/>
      <c r="AK15" s="19"/>
      <c r="AL15" s="38"/>
      <c r="AM15" s="19"/>
      <c r="AN15" s="19"/>
      <c r="AO15" s="38"/>
      <c r="AP15" s="19"/>
      <c r="AQ15" s="19"/>
      <c r="AR15" s="38"/>
      <c r="AS15" s="19"/>
      <c r="AT15" s="19"/>
      <c r="AU15" s="38"/>
      <c r="AV15" s="19"/>
      <c r="AW15" s="19"/>
      <c r="AX15" s="39"/>
      <c r="AY15" s="38"/>
      <c r="AZ15" s="21"/>
      <c r="BA15" s="22"/>
    </row>
    <row r="16" spans="1:53" ht="14.5" customHeight="1" x14ac:dyDescent="0.2">
      <c r="A16" s="54">
        <v>1</v>
      </c>
      <c r="B16" s="53" t="s">
        <v>10</v>
      </c>
      <c r="C16" s="57">
        <f>'Data '!C15</f>
        <v>1800</v>
      </c>
      <c r="D16" s="57">
        <f>'Data '!D15</f>
        <v>2000</v>
      </c>
      <c r="E16" s="39">
        <f>'Setoran 2'!C16</f>
        <v>0</v>
      </c>
      <c r="F16" s="19">
        <f t="shared" si="0"/>
        <v>0</v>
      </c>
      <c r="G16" s="19">
        <f t="shared" si="1"/>
        <v>0</v>
      </c>
      <c r="H16" s="39">
        <f>'Setoran 2'!D16</f>
        <v>0</v>
      </c>
      <c r="I16" s="19">
        <f t="shared" si="2"/>
        <v>0</v>
      </c>
      <c r="J16" s="19">
        <f t="shared" si="3"/>
        <v>0</v>
      </c>
      <c r="K16" s="39">
        <f>'Setoran 2'!E16</f>
        <v>0</v>
      </c>
      <c r="L16" s="19">
        <f t="shared" si="4"/>
        <v>0</v>
      </c>
      <c r="M16" s="19">
        <f t="shared" si="5"/>
        <v>0</v>
      </c>
      <c r="N16" s="39">
        <f>'Setoran 2'!F16</f>
        <v>0</v>
      </c>
      <c r="O16" s="19">
        <f t="shared" si="6"/>
        <v>0</v>
      </c>
      <c r="P16" s="19">
        <f t="shared" si="7"/>
        <v>0</v>
      </c>
      <c r="Q16" s="39">
        <f>'Setoran 2'!G16</f>
        <v>0</v>
      </c>
      <c r="R16" s="19">
        <f t="shared" si="8"/>
        <v>0</v>
      </c>
      <c r="S16" s="19">
        <f t="shared" si="9"/>
        <v>0</v>
      </c>
      <c r="T16" s="39">
        <f>'Setoran 2'!H16</f>
        <v>0</v>
      </c>
      <c r="U16" s="19">
        <f t="shared" si="10"/>
        <v>0</v>
      </c>
      <c r="V16" s="19">
        <f t="shared" si="11"/>
        <v>0</v>
      </c>
      <c r="W16" s="39">
        <f>'Setoran 2'!I16</f>
        <v>0</v>
      </c>
      <c r="X16" s="19">
        <f t="shared" si="12"/>
        <v>0</v>
      </c>
      <c r="Y16" s="19">
        <f t="shared" si="13"/>
        <v>0</v>
      </c>
      <c r="Z16" s="39">
        <f>'Setoran 2'!J16</f>
        <v>0</v>
      </c>
      <c r="AA16" s="19">
        <f t="shared" si="14"/>
        <v>0</v>
      </c>
      <c r="AB16" s="19">
        <f t="shared" si="15"/>
        <v>0</v>
      </c>
      <c r="AC16" s="39">
        <f>'Setoran 2'!K16</f>
        <v>0</v>
      </c>
      <c r="AD16" s="19">
        <f t="shared" si="16"/>
        <v>0</v>
      </c>
      <c r="AE16" s="19">
        <f t="shared" si="17"/>
        <v>0</v>
      </c>
      <c r="AF16" s="38">
        <f>'Setoran 2'!L16</f>
        <v>0</v>
      </c>
      <c r="AG16" s="19">
        <f t="shared" si="18"/>
        <v>0</v>
      </c>
      <c r="AH16" s="19">
        <f t="shared" si="19"/>
        <v>0</v>
      </c>
      <c r="AI16" s="38">
        <f>'Setoran 2'!M16</f>
        <v>0</v>
      </c>
      <c r="AJ16" s="19">
        <f t="shared" si="20"/>
        <v>0</v>
      </c>
      <c r="AK16" s="19">
        <f t="shared" si="21"/>
        <v>0</v>
      </c>
      <c r="AL16" s="38">
        <f>'Setoran 2'!N16</f>
        <v>0</v>
      </c>
      <c r="AM16" s="19">
        <f t="shared" si="22"/>
        <v>0</v>
      </c>
      <c r="AN16" s="19">
        <f t="shared" si="23"/>
        <v>0</v>
      </c>
      <c r="AO16" s="38">
        <f>'Setoran 2'!O16</f>
        <v>0</v>
      </c>
      <c r="AP16" s="19">
        <f t="shared" si="24"/>
        <v>0</v>
      </c>
      <c r="AQ16" s="19">
        <f t="shared" si="25"/>
        <v>0</v>
      </c>
      <c r="AR16" s="38">
        <f>'Setoran 2'!P16</f>
        <v>0</v>
      </c>
      <c r="AS16" s="19">
        <f t="shared" si="26"/>
        <v>0</v>
      </c>
      <c r="AT16" s="19">
        <f t="shared" si="27"/>
        <v>0</v>
      </c>
      <c r="AU16" s="38">
        <f>'Setoran 2'!Q16</f>
        <v>0</v>
      </c>
      <c r="AV16" s="19">
        <f t="shared" si="28"/>
        <v>0</v>
      </c>
      <c r="AW16" s="19">
        <f t="shared" si="29"/>
        <v>0</v>
      </c>
      <c r="AX16" s="39">
        <f t="shared" si="30"/>
        <v>0</v>
      </c>
      <c r="AY16" s="38">
        <f t="shared" si="31"/>
        <v>0</v>
      </c>
      <c r="AZ16" s="21">
        <f t="shared" si="32"/>
        <v>0</v>
      </c>
      <c r="BA16" s="22">
        <f t="shared" si="33"/>
        <v>0</v>
      </c>
    </row>
    <row r="17" spans="1:53" ht="14.5" customHeight="1" x14ac:dyDescent="0.2">
      <c r="A17" s="54">
        <v>2</v>
      </c>
      <c r="B17" s="53" t="s">
        <v>75</v>
      </c>
      <c r="C17" s="57">
        <f>'Data '!C16</f>
        <v>2400</v>
      </c>
      <c r="D17" s="57">
        <f>'Data '!D16</f>
        <v>2500</v>
      </c>
      <c r="E17" s="39">
        <f>'Setoran 2'!C17</f>
        <v>0</v>
      </c>
      <c r="F17" s="19">
        <f t="shared" si="0"/>
        <v>0</v>
      </c>
      <c r="G17" s="19">
        <f t="shared" si="1"/>
        <v>0</v>
      </c>
      <c r="H17" s="39">
        <f>'Setoran 2'!D17</f>
        <v>0</v>
      </c>
      <c r="I17" s="19">
        <f t="shared" si="2"/>
        <v>0</v>
      </c>
      <c r="J17" s="19">
        <f t="shared" si="3"/>
        <v>0</v>
      </c>
      <c r="K17" s="39">
        <f>'Setoran 2'!E17</f>
        <v>0</v>
      </c>
      <c r="L17" s="19">
        <f t="shared" si="4"/>
        <v>0</v>
      </c>
      <c r="M17" s="19">
        <f t="shared" si="5"/>
        <v>0</v>
      </c>
      <c r="N17" s="39">
        <f>'Setoran 2'!F17</f>
        <v>0</v>
      </c>
      <c r="O17" s="19">
        <f t="shared" si="6"/>
        <v>0</v>
      </c>
      <c r="P17" s="19">
        <f t="shared" si="7"/>
        <v>0</v>
      </c>
      <c r="Q17" s="39">
        <f>'Setoran 2'!G17</f>
        <v>0</v>
      </c>
      <c r="R17" s="19">
        <f t="shared" si="8"/>
        <v>0</v>
      </c>
      <c r="S17" s="19">
        <f t="shared" si="9"/>
        <v>0</v>
      </c>
      <c r="T17" s="39">
        <f>'Setoran 2'!H17</f>
        <v>0</v>
      </c>
      <c r="U17" s="19">
        <f t="shared" si="10"/>
        <v>0</v>
      </c>
      <c r="V17" s="19">
        <f t="shared" si="11"/>
        <v>0</v>
      </c>
      <c r="W17" s="39">
        <f>'Setoran 2'!I17</f>
        <v>0</v>
      </c>
      <c r="X17" s="19">
        <f t="shared" si="12"/>
        <v>0</v>
      </c>
      <c r="Y17" s="19">
        <f t="shared" si="13"/>
        <v>0</v>
      </c>
      <c r="Z17" s="39">
        <f>'Setoran 2'!J17</f>
        <v>0</v>
      </c>
      <c r="AA17" s="19">
        <f t="shared" si="14"/>
        <v>0</v>
      </c>
      <c r="AB17" s="19">
        <f t="shared" si="15"/>
        <v>0</v>
      </c>
      <c r="AC17" s="39">
        <f>'Setoran 2'!K17</f>
        <v>0</v>
      </c>
      <c r="AD17" s="19">
        <f t="shared" si="16"/>
        <v>0</v>
      </c>
      <c r="AE17" s="19">
        <f t="shared" si="17"/>
        <v>0</v>
      </c>
      <c r="AF17" s="38">
        <f>'Setoran 2'!L17</f>
        <v>0</v>
      </c>
      <c r="AG17" s="19">
        <f t="shared" si="18"/>
        <v>0</v>
      </c>
      <c r="AH17" s="19">
        <f t="shared" si="19"/>
        <v>0</v>
      </c>
      <c r="AI17" s="38">
        <f>'Setoran 2'!M17</f>
        <v>0</v>
      </c>
      <c r="AJ17" s="19">
        <f t="shared" si="20"/>
        <v>0</v>
      </c>
      <c r="AK17" s="19">
        <f t="shared" si="21"/>
        <v>0</v>
      </c>
      <c r="AL17" s="38">
        <f>'Setoran 2'!N17</f>
        <v>0</v>
      </c>
      <c r="AM17" s="19">
        <f t="shared" si="22"/>
        <v>0</v>
      </c>
      <c r="AN17" s="19">
        <f t="shared" si="23"/>
        <v>0</v>
      </c>
      <c r="AO17" s="38">
        <f>'Setoran 2'!O17</f>
        <v>0</v>
      </c>
      <c r="AP17" s="19">
        <f t="shared" si="24"/>
        <v>0</v>
      </c>
      <c r="AQ17" s="19">
        <f t="shared" si="25"/>
        <v>0</v>
      </c>
      <c r="AR17" s="38">
        <f>'Setoran 2'!P17</f>
        <v>0</v>
      </c>
      <c r="AS17" s="19">
        <f t="shared" si="26"/>
        <v>0</v>
      </c>
      <c r="AT17" s="19">
        <f t="shared" si="27"/>
        <v>0</v>
      </c>
      <c r="AU17" s="38">
        <f>'Setoran 2'!Q17</f>
        <v>0</v>
      </c>
      <c r="AV17" s="19">
        <f t="shared" si="28"/>
        <v>0</v>
      </c>
      <c r="AW17" s="19">
        <f t="shared" si="29"/>
        <v>0</v>
      </c>
      <c r="AX17" s="39">
        <f t="shared" si="30"/>
        <v>0</v>
      </c>
      <c r="AY17" s="38">
        <f t="shared" si="31"/>
        <v>0</v>
      </c>
      <c r="AZ17" s="21">
        <f t="shared" si="32"/>
        <v>0</v>
      </c>
      <c r="BA17" s="22">
        <f t="shared" si="33"/>
        <v>0</v>
      </c>
    </row>
    <row r="18" spans="1:53" ht="14.5" customHeight="1" x14ac:dyDescent="0.2">
      <c r="A18" s="54">
        <v>3</v>
      </c>
      <c r="B18" s="61" t="s">
        <v>76</v>
      </c>
      <c r="C18" s="57">
        <f>'Data '!C17</f>
        <v>1900</v>
      </c>
      <c r="D18" s="57">
        <f>'Data '!D17</f>
        <v>2000</v>
      </c>
      <c r="E18" s="39">
        <f>'Setoran 2'!C18</f>
        <v>0</v>
      </c>
      <c r="F18" s="19">
        <f t="shared" si="0"/>
        <v>0</v>
      </c>
      <c r="G18" s="19">
        <f t="shared" si="1"/>
        <v>0</v>
      </c>
      <c r="H18" s="39">
        <f>'Setoran 2'!D18</f>
        <v>0</v>
      </c>
      <c r="I18" s="19">
        <f t="shared" si="2"/>
        <v>0</v>
      </c>
      <c r="J18" s="19">
        <f t="shared" si="3"/>
        <v>0</v>
      </c>
      <c r="K18" s="39">
        <f>'Setoran 2'!E18</f>
        <v>0</v>
      </c>
      <c r="L18" s="19">
        <f t="shared" si="4"/>
        <v>0</v>
      </c>
      <c r="M18" s="19">
        <f t="shared" si="5"/>
        <v>0</v>
      </c>
      <c r="N18" s="39">
        <f>'Setoran 2'!F18</f>
        <v>0</v>
      </c>
      <c r="O18" s="19">
        <f t="shared" si="6"/>
        <v>0</v>
      </c>
      <c r="P18" s="19">
        <f t="shared" si="7"/>
        <v>0</v>
      </c>
      <c r="Q18" s="39">
        <f>'Setoran 2'!G18</f>
        <v>0</v>
      </c>
      <c r="R18" s="19">
        <f t="shared" si="8"/>
        <v>0</v>
      </c>
      <c r="S18" s="19">
        <f t="shared" si="9"/>
        <v>0</v>
      </c>
      <c r="T18" s="39">
        <f>'Setoran 2'!H18</f>
        <v>0</v>
      </c>
      <c r="U18" s="19">
        <f t="shared" si="10"/>
        <v>0</v>
      </c>
      <c r="V18" s="19">
        <f t="shared" si="11"/>
        <v>0</v>
      </c>
      <c r="W18" s="39">
        <f>'Setoran 2'!I18</f>
        <v>0</v>
      </c>
      <c r="X18" s="19">
        <f t="shared" si="12"/>
        <v>0</v>
      </c>
      <c r="Y18" s="19">
        <f t="shared" si="13"/>
        <v>0</v>
      </c>
      <c r="Z18" s="39">
        <f>'Setoran 2'!J18</f>
        <v>0</v>
      </c>
      <c r="AA18" s="19">
        <f t="shared" si="14"/>
        <v>0</v>
      </c>
      <c r="AB18" s="19">
        <f t="shared" si="15"/>
        <v>0</v>
      </c>
      <c r="AC18" s="39">
        <f>'Setoran 2'!K18</f>
        <v>0</v>
      </c>
      <c r="AD18" s="19">
        <f t="shared" si="16"/>
        <v>0</v>
      </c>
      <c r="AE18" s="19">
        <f t="shared" si="17"/>
        <v>0</v>
      </c>
      <c r="AF18" s="38">
        <f>'Setoran 2'!L18</f>
        <v>0</v>
      </c>
      <c r="AG18" s="19">
        <f t="shared" si="18"/>
        <v>0</v>
      </c>
      <c r="AH18" s="19">
        <f t="shared" si="19"/>
        <v>0</v>
      </c>
      <c r="AI18" s="38">
        <f>'Setoran 2'!M18</f>
        <v>0</v>
      </c>
      <c r="AJ18" s="19">
        <f t="shared" si="20"/>
        <v>0</v>
      </c>
      <c r="AK18" s="19">
        <f t="shared" si="21"/>
        <v>0</v>
      </c>
      <c r="AL18" s="38">
        <f>'Setoran 2'!N18</f>
        <v>0</v>
      </c>
      <c r="AM18" s="19">
        <f t="shared" si="22"/>
        <v>0</v>
      </c>
      <c r="AN18" s="19">
        <f t="shared" si="23"/>
        <v>0</v>
      </c>
      <c r="AO18" s="38">
        <f>'Setoran 2'!O18</f>
        <v>0</v>
      </c>
      <c r="AP18" s="19">
        <f t="shared" si="24"/>
        <v>0</v>
      </c>
      <c r="AQ18" s="19">
        <f t="shared" si="25"/>
        <v>0</v>
      </c>
      <c r="AR18" s="38">
        <f>'Setoran 2'!P18</f>
        <v>0</v>
      </c>
      <c r="AS18" s="19">
        <f t="shared" si="26"/>
        <v>0</v>
      </c>
      <c r="AT18" s="19">
        <f t="shared" si="27"/>
        <v>0</v>
      </c>
      <c r="AU18" s="38">
        <f>'Setoran 2'!Q18</f>
        <v>0</v>
      </c>
      <c r="AV18" s="19">
        <f t="shared" si="28"/>
        <v>0</v>
      </c>
      <c r="AW18" s="19">
        <f t="shared" si="29"/>
        <v>0</v>
      </c>
      <c r="AX18" s="39">
        <f t="shared" si="30"/>
        <v>0</v>
      </c>
      <c r="AY18" s="38">
        <f t="shared" si="31"/>
        <v>0</v>
      </c>
      <c r="AZ18" s="21">
        <f t="shared" si="32"/>
        <v>0</v>
      </c>
      <c r="BA18" s="22">
        <f t="shared" si="33"/>
        <v>0</v>
      </c>
    </row>
    <row r="19" spans="1:53" ht="14.5" customHeight="1" x14ac:dyDescent="0.2">
      <c r="A19" s="54">
        <v>4</v>
      </c>
      <c r="B19" s="53" t="s">
        <v>11</v>
      </c>
      <c r="C19" s="57">
        <f>'Data '!C18</f>
        <v>1800</v>
      </c>
      <c r="D19" s="57">
        <f>'Data '!D18</f>
        <v>2000</v>
      </c>
      <c r="E19" s="39">
        <f>'Setoran 2'!C19</f>
        <v>0</v>
      </c>
      <c r="F19" s="19">
        <f t="shared" si="0"/>
        <v>0</v>
      </c>
      <c r="G19" s="19">
        <f t="shared" si="1"/>
        <v>0</v>
      </c>
      <c r="H19" s="39">
        <f>'Setoran 2'!D19</f>
        <v>0</v>
      </c>
      <c r="I19" s="19">
        <f t="shared" si="2"/>
        <v>0</v>
      </c>
      <c r="J19" s="19">
        <f t="shared" si="3"/>
        <v>0</v>
      </c>
      <c r="K19" s="39">
        <f>'Setoran 2'!E19</f>
        <v>0</v>
      </c>
      <c r="L19" s="19">
        <f t="shared" si="4"/>
        <v>0</v>
      </c>
      <c r="M19" s="19">
        <f t="shared" si="5"/>
        <v>0</v>
      </c>
      <c r="N19" s="39">
        <f>'Setoran 2'!F19</f>
        <v>0</v>
      </c>
      <c r="O19" s="19">
        <f t="shared" si="6"/>
        <v>0</v>
      </c>
      <c r="P19" s="19">
        <f t="shared" si="7"/>
        <v>0</v>
      </c>
      <c r="Q19" s="39">
        <f>'Setoran 2'!G19</f>
        <v>0</v>
      </c>
      <c r="R19" s="19">
        <f t="shared" si="8"/>
        <v>0</v>
      </c>
      <c r="S19" s="19">
        <f t="shared" si="9"/>
        <v>0</v>
      </c>
      <c r="T19" s="39">
        <f>'Setoran 2'!H19</f>
        <v>0</v>
      </c>
      <c r="U19" s="19">
        <f t="shared" si="10"/>
        <v>0</v>
      </c>
      <c r="V19" s="19">
        <f t="shared" si="11"/>
        <v>0</v>
      </c>
      <c r="W19" s="39">
        <f>'Setoran 2'!I19</f>
        <v>0</v>
      </c>
      <c r="X19" s="19">
        <f t="shared" si="12"/>
        <v>0</v>
      </c>
      <c r="Y19" s="19">
        <f t="shared" si="13"/>
        <v>0</v>
      </c>
      <c r="Z19" s="39">
        <f>'Setoran 2'!J19</f>
        <v>0</v>
      </c>
      <c r="AA19" s="19">
        <f t="shared" si="14"/>
        <v>0</v>
      </c>
      <c r="AB19" s="19">
        <f t="shared" si="15"/>
        <v>0</v>
      </c>
      <c r="AC19" s="39">
        <f>'Setoran 2'!K19</f>
        <v>0</v>
      </c>
      <c r="AD19" s="19">
        <f t="shared" si="16"/>
        <v>0</v>
      </c>
      <c r="AE19" s="19">
        <f t="shared" si="17"/>
        <v>0</v>
      </c>
      <c r="AF19" s="38">
        <f>'Setoran 2'!L19</f>
        <v>0</v>
      </c>
      <c r="AG19" s="19">
        <f t="shared" si="18"/>
        <v>0</v>
      </c>
      <c r="AH19" s="19">
        <f t="shared" si="19"/>
        <v>0</v>
      </c>
      <c r="AI19" s="38">
        <f>'Setoran 2'!M19</f>
        <v>0</v>
      </c>
      <c r="AJ19" s="19">
        <f t="shared" si="20"/>
        <v>0</v>
      </c>
      <c r="AK19" s="19">
        <f t="shared" si="21"/>
        <v>0</v>
      </c>
      <c r="AL19" s="38">
        <f>'Setoran 2'!N19</f>
        <v>0</v>
      </c>
      <c r="AM19" s="19">
        <f t="shared" si="22"/>
        <v>0</v>
      </c>
      <c r="AN19" s="19">
        <f t="shared" si="23"/>
        <v>0</v>
      </c>
      <c r="AO19" s="38">
        <f>'Setoran 2'!O19</f>
        <v>0</v>
      </c>
      <c r="AP19" s="19">
        <f t="shared" si="24"/>
        <v>0</v>
      </c>
      <c r="AQ19" s="19">
        <f t="shared" si="25"/>
        <v>0</v>
      </c>
      <c r="AR19" s="38">
        <f>'Setoran 2'!P19</f>
        <v>0</v>
      </c>
      <c r="AS19" s="19">
        <f t="shared" si="26"/>
        <v>0</v>
      </c>
      <c r="AT19" s="19">
        <f t="shared" si="27"/>
        <v>0</v>
      </c>
      <c r="AU19" s="38">
        <f>'Setoran 2'!Q19</f>
        <v>0</v>
      </c>
      <c r="AV19" s="19">
        <f t="shared" si="28"/>
        <v>0</v>
      </c>
      <c r="AW19" s="19">
        <f t="shared" si="29"/>
        <v>0</v>
      </c>
      <c r="AX19" s="39">
        <f t="shared" si="30"/>
        <v>0</v>
      </c>
      <c r="AY19" s="38">
        <f t="shared" si="31"/>
        <v>0</v>
      </c>
      <c r="AZ19" s="21">
        <f t="shared" si="32"/>
        <v>0</v>
      </c>
      <c r="BA19" s="22">
        <f t="shared" si="33"/>
        <v>0</v>
      </c>
    </row>
    <row r="20" spans="1:53" ht="14.5" customHeight="1" x14ac:dyDescent="0.2">
      <c r="A20" s="54">
        <v>5</v>
      </c>
      <c r="B20" s="53" t="s">
        <v>12</v>
      </c>
      <c r="C20" s="57">
        <f>'Data '!C19</f>
        <v>1700</v>
      </c>
      <c r="D20" s="57">
        <f>'Data '!D19</f>
        <v>1800</v>
      </c>
      <c r="E20" s="39">
        <f>'Setoran 2'!C20</f>
        <v>0</v>
      </c>
      <c r="F20" s="19">
        <f t="shared" si="0"/>
        <v>0</v>
      </c>
      <c r="G20" s="19">
        <f t="shared" si="1"/>
        <v>0</v>
      </c>
      <c r="H20" s="39">
        <f>'Setoran 2'!D20</f>
        <v>0</v>
      </c>
      <c r="I20" s="19">
        <f t="shared" si="2"/>
        <v>0</v>
      </c>
      <c r="J20" s="19">
        <f t="shared" si="3"/>
        <v>0</v>
      </c>
      <c r="K20" s="39">
        <f>'Setoran 2'!E20</f>
        <v>0</v>
      </c>
      <c r="L20" s="19">
        <f t="shared" si="4"/>
        <v>0</v>
      </c>
      <c r="M20" s="19">
        <f t="shared" si="5"/>
        <v>0</v>
      </c>
      <c r="N20" s="39">
        <f>'Setoran 2'!F20</f>
        <v>0</v>
      </c>
      <c r="O20" s="19">
        <f t="shared" si="6"/>
        <v>0</v>
      </c>
      <c r="P20" s="19">
        <f t="shared" si="7"/>
        <v>0</v>
      </c>
      <c r="Q20" s="39">
        <f>'Setoran 2'!G20</f>
        <v>0</v>
      </c>
      <c r="R20" s="19">
        <f t="shared" si="8"/>
        <v>0</v>
      </c>
      <c r="S20" s="19">
        <f t="shared" si="9"/>
        <v>0</v>
      </c>
      <c r="T20" s="39">
        <f>'Setoran 2'!H20</f>
        <v>0</v>
      </c>
      <c r="U20" s="19">
        <f t="shared" si="10"/>
        <v>0</v>
      </c>
      <c r="V20" s="19">
        <f t="shared" si="11"/>
        <v>0</v>
      </c>
      <c r="W20" s="39">
        <f>'Setoran 2'!I20</f>
        <v>0</v>
      </c>
      <c r="X20" s="19">
        <f t="shared" si="12"/>
        <v>0</v>
      </c>
      <c r="Y20" s="19">
        <f t="shared" si="13"/>
        <v>0</v>
      </c>
      <c r="Z20" s="39">
        <f>'Setoran 2'!J20</f>
        <v>0</v>
      </c>
      <c r="AA20" s="19">
        <f t="shared" si="14"/>
        <v>0</v>
      </c>
      <c r="AB20" s="19">
        <f t="shared" si="15"/>
        <v>0</v>
      </c>
      <c r="AC20" s="39">
        <f>'Setoran 2'!K20</f>
        <v>0</v>
      </c>
      <c r="AD20" s="19">
        <f t="shared" si="16"/>
        <v>0</v>
      </c>
      <c r="AE20" s="19">
        <f t="shared" si="17"/>
        <v>0</v>
      </c>
      <c r="AF20" s="38">
        <f>'Setoran 2'!L20</f>
        <v>0</v>
      </c>
      <c r="AG20" s="19">
        <f t="shared" si="18"/>
        <v>0</v>
      </c>
      <c r="AH20" s="19">
        <f t="shared" si="19"/>
        <v>0</v>
      </c>
      <c r="AI20" s="38">
        <f>'Setoran 2'!M20</f>
        <v>0</v>
      </c>
      <c r="AJ20" s="19">
        <f t="shared" si="20"/>
        <v>0</v>
      </c>
      <c r="AK20" s="19">
        <f t="shared" si="21"/>
        <v>0</v>
      </c>
      <c r="AL20" s="38">
        <f>'Setoran 2'!N20</f>
        <v>0</v>
      </c>
      <c r="AM20" s="19">
        <f t="shared" si="22"/>
        <v>0</v>
      </c>
      <c r="AN20" s="19">
        <f t="shared" si="23"/>
        <v>0</v>
      </c>
      <c r="AO20" s="38">
        <f>'Setoran 2'!O20</f>
        <v>0</v>
      </c>
      <c r="AP20" s="19">
        <f t="shared" si="24"/>
        <v>0</v>
      </c>
      <c r="AQ20" s="19">
        <f t="shared" si="25"/>
        <v>0</v>
      </c>
      <c r="AR20" s="38">
        <f>'Setoran 2'!P20</f>
        <v>0</v>
      </c>
      <c r="AS20" s="19">
        <f t="shared" si="26"/>
        <v>0</v>
      </c>
      <c r="AT20" s="19">
        <f t="shared" si="27"/>
        <v>0</v>
      </c>
      <c r="AU20" s="38">
        <f>'Setoran 2'!Q20</f>
        <v>0</v>
      </c>
      <c r="AV20" s="19">
        <f t="shared" si="28"/>
        <v>0</v>
      </c>
      <c r="AW20" s="19">
        <f t="shared" si="29"/>
        <v>0</v>
      </c>
      <c r="AX20" s="39">
        <f t="shared" si="30"/>
        <v>0</v>
      </c>
      <c r="AY20" s="38">
        <f t="shared" si="31"/>
        <v>0</v>
      </c>
      <c r="AZ20" s="21">
        <f t="shared" si="32"/>
        <v>0</v>
      </c>
      <c r="BA20" s="22">
        <f t="shared" si="33"/>
        <v>0</v>
      </c>
    </row>
    <row r="21" spans="1:53" ht="14.5" customHeight="1" x14ac:dyDescent="0.2">
      <c r="A21" s="54">
        <v>6</v>
      </c>
      <c r="B21" s="53" t="s">
        <v>13</v>
      </c>
      <c r="C21" s="57">
        <f>'Data '!C20</f>
        <v>0</v>
      </c>
      <c r="D21" s="57">
        <f>'Data '!D20</f>
        <v>0</v>
      </c>
      <c r="E21" s="39">
        <f>'Setoran 2'!C21</f>
        <v>0</v>
      </c>
      <c r="F21" s="19">
        <f t="shared" si="0"/>
        <v>0</v>
      </c>
      <c r="G21" s="19">
        <f t="shared" si="1"/>
        <v>0</v>
      </c>
      <c r="H21" s="39">
        <f>'Setoran 2'!D21</f>
        <v>0</v>
      </c>
      <c r="I21" s="19">
        <f t="shared" si="2"/>
        <v>0</v>
      </c>
      <c r="J21" s="19">
        <f t="shared" si="3"/>
        <v>0</v>
      </c>
      <c r="K21" s="39">
        <f>'Setoran 2'!E21</f>
        <v>0</v>
      </c>
      <c r="L21" s="19">
        <f t="shared" si="4"/>
        <v>0</v>
      </c>
      <c r="M21" s="19">
        <f t="shared" si="5"/>
        <v>0</v>
      </c>
      <c r="N21" s="39">
        <f>'Setoran 2'!F21</f>
        <v>0</v>
      </c>
      <c r="O21" s="19">
        <f t="shared" si="6"/>
        <v>0</v>
      </c>
      <c r="P21" s="19">
        <f t="shared" si="7"/>
        <v>0</v>
      </c>
      <c r="Q21" s="39">
        <f>'Setoran 2'!G21</f>
        <v>0</v>
      </c>
      <c r="R21" s="19">
        <f t="shared" si="8"/>
        <v>0</v>
      </c>
      <c r="S21" s="19">
        <f t="shared" si="9"/>
        <v>0</v>
      </c>
      <c r="T21" s="39">
        <f>'Setoran 2'!H21</f>
        <v>0</v>
      </c>
      <c r="U21" s="19">
        <f t="shared" si="10"/>
        <v>0</v>
      </c>
      <c r="V21" s="19">
        <f t="shared" si="11"/>
        <v>0</v>
      </c>
      <c r="W21" s="39">
        <f>'Setoran 2'!I21</f>
        <v>0</v>
      </c>
      <c r="X21" s="19">
        <f t="shared" si="12"/>
        <v>0</v>
      </c>
      <c r="Y21" s="19">
        <f t="shared" si="13"/>
        <v>0</v>
      </c>
      <c r="Z21" s="39">
        <f>'Setoran 2'!J21</f>
        <v>0</v>
      </c>
      <c r="AA21" s="19">
        <f t="shared" si="14"/>
        <v>0</v>
      </c>
      <c r="AB21" s="19">
        <f t="shared" si="15"/>
        <v>0</v>
      </c>
      <c r="AC21" s="39">
        <f>'Setoran 2'!K21</f>
        <v>0</v>
      </c>
      <c r="AD21" s="19">
        <f t="shared" si="16"/>
        <v>0</v>
      </c>
      <c r="AE21" s="19">
        <f t="shared" si="17"/>
        <v>0</v>
      </c>
      <c r="AF21" s="38">
        <f>'Setoran 2'!L21</f>
        <v>0</v>
      </c>
      <c r="AG21" s="19">
        <f t="shared" si="18"/>
        <v>0</v>
      </c>
      <c r="AH21" s="19">
        <f t="shared" si="19"/>
        <v>0</v>
      </c>
      <c r="AI21" s="38">
        <f>'Setoran 2'!M21</f>
        <v>0</v>
      </c>
      <c r="AJ21" s="19">
        <f t="shared" si="20"/>
        <v>0</v>
      </c>
      <c r="AK21" s="19">
        <f t="shared" si="21"/>
        <v>0</v>
      </c>
      <c r="AL21" s="38">
        <f>'Setoran 2'!N21</f>
        <v>0</v>
      </c>
      <c r="AM21" s="19">
        <f t="shared" si="22"/>
        <v>0</v>
      </c>
      <c r="AN21" s="19">
        <f t="shared" si="23"/>
        <v>0</v>
      </c>
      <c r="AO21" s="38">
        <f>'Setoran 2'!O21</f>
        <v>0</v>
      </c>
      <c r="AP21" s="19">
        <f t="shared" si="24"/>
        <v>0</v>
      </c>
      <c r="AQ21" s="19">
        <f t="shared" si="25"/>
        <v>0</v>
      </c>
      <c r="AR21" s="38">
        <f>'Setoran 2'!P21</f>
        <v>0</v>
      </c>
      <c r="AS21" s="19">
        <f t="shared" si="26"/>
        <v>0</v>
      </c>
      <c r="AT21" s="19">
        <f t="shared" si="27"/>
        <v>0</v>
      </c>
      <c r="AU21" s="38">
        <f>'Setoran 2'!Q21</f>
        <v>0</v>
      </c>
      <c r="AV21" s="19">
        <f t="shared" si="28"/>
        <v>0</v>
      </c>
      <c r="AW21" s="19">
        <f t="shared" si="29"/>
        <v>0</v>
      </c>
      <c r="AX21" s="39">
        <f t="shared" si="30"/>
        <v>0</v>
      </c>
      <c r="AY21" s="38">
        <f t="shared" si="31"/>
        <v>0</v>
      </c>
      <c r="AZ21" s="21">
        <f t="shared" si="32"/>
        <v>0</v>
      </c>
      <c r="BA21" s="22">
        <f t="shared" si="33"/>
        <v>0</v>
      </c>
    </row>
    <row r="22" spans="1:53" ht="14.5" customHeight="1" x14ac:dyDescent="0.2">
      <c r="A22" s="54">
        <v>7</v>
      </c>
      <c r="B22" s="53" t="s">
        <v>14</v>
      </c>
      <c r="C22" s="57">
        <f>'Data '!C21</f>
        <v>900</v>
      </c>
      <c r="D22" s="57">
        <f>'Data '!D21</f>
        <v>1000</v>
      </c>
      <c r="E22" s="39">
        <f>'Setoran 2'!C22</f>
        <v>0</v>
      </c>
      <c r="F22" s="19">
        <f t="shared" si="0"/>
        <v>0</v>
      </c>
      <c r="G22" s="19">
        <f t="shared" si="1"/>
        <v>0</v>
      </c>
      <c r="H22" s="39">
        <f>'Setoran 2'!D22</f>
        <v>0</v>
      </c>
      <c r="I22" s="19">
        <f t="shared" si="2"/>
        <v>0</v>
      </c>
      <c r="J22" s="19">
        <f t="shared" si="3"/>
        <v>0</v>
      </c>
      <c r="K22" s="39">
        <f>'Setoran 2'!E22</f>
        <v>0</v>
      </c>
      <c r="L22" s="19">
        <f t="shared" si="4"/>
        <v>0</v>
      </c>
      <c r="M22" s="19">
        <f t="shared" si="5"/>
        <v>0</v>
      </c>
      <c r="N22" s="39">
        <f>'Setoran 2'!F22</f>
        <v>0</v>
      </c>
      <c r="O22" s="19">
        <f t="shared" si="6"/>
        <v>0</v>
      </c>
      <c r="P22" s="19">
        <f t="shared" si="7"/>
        <v>0</v>
      </c>
      <c r="Q22" s="39">
        <f>'Setoran 2'!G22</f>
        <v>0</v>
      </c>
      <c r="R22" s="19">
        <f t="shared" si="8"/>
        <v>0</v>
      </c>
      <c r="S22" s="19">
        <f t="shared" si="9"/>
        <v>0</v>
      </c>
      <c r="T22" s="39">
        <f>'Setoran 2'!H22</f>
        <v>0</v>
      </c>
      <c r="U22" s="19">
        <f t="shared" si="10"/>
        <v>0</v>
      </c>
      <c r="V22" s="19">
        <f t="shared" si="11"/>
        <v>0</v>
      </c>
      <c r="W22" s="39">
        <f>'Setoran 2'!I22</f>
        <v>0</v>
      </c>
      <c r="X22" s="19">
        <f t="shared" si="12"/>
        <v>0</v>
      </c>
      <c r="Y22" s="19">
        <f t="shared" si="13"/>
        <v>0</v>
      </c>
      <c r="Z22" s="39">
        <f>'Setoran 2'!J22</f>
        <v>0</v>
      </c>
      <c r="AA22" s="19">
        <f t="shared" si="14"/>
        <v>0</v>
      </c>
      <c r="AB22" s="19">
        <f t="shared" si="15"/>
        <v>0</v>
      </c>
      <c r="AC22" s="39">
        <f>'Setoran 2'!K22</f>
        <v>0</v>
      </c>
      <c r="AD22" s="19">
        <f t="shared" si="16"/>
        <v>0</v>
      </c>
      <c r="AE22" s="19">
        <f t="shared" si="17"/>
        <v>0</v>
      </c>
      <c r="AF22" s="38">
        <f>'Setoran 2'!L22</f>
        <v>0</v>
      </c>
      <c r="AG22" s="19">
        <f t="shared" si="18"/>
        <v>0</v>
      </c>
      <c r="AH22" s="19">
        <f t="shared" si="19"/>
        <v>0</v>
      </c>
      <c r="AI22" s="38">
        <f>'Setoran 2'!M22</f>
        <v>0</v>
      </c>
      <c r="AJ22" s="19">
        <f t="shared" si="20"/>
        <v>0</v>
      </c>
      <c r="AK22" s="19">
        <f t="shared" si="21"/>
        <v>0</v>
      </c>
      <c r="AL22" s="38">
        <f>'Setoran 2'!N22</f>
        <v>0</v>
      </c>
      <c r="AM22" s="19">
        <f t="shared" si="22"/>
        <v>0</v>
      </c>
      <c r="AN22" s="19">
        <f t="shared" si="23"/>
        <v>0</v>
      </c>
      <c r="AO22" s="38">
        <f>'Setoran 2'!O22</f>
        <v>0</v>
      </c>
      <c r="AP22" s="19">
        <f t="shared" si="24"/>
        <v>0</v>
      </c>
      <c r="AQ22" s="19">
        <f t="shared" si="25"/>
        <v>0</v>
      </c>
      <c r="AR22" s="38">
        <f>'Setoran 2'!P22</f>
        <v>0</v>
      </c>
      <c r="AS22" s="19">
        <f t="shared" si="26"/>
        <v>0</v>
      </c>
      <c r="AT22" s="19">
        <f t="shared" si="27"/>
        <v>0</v>
      </c>
      <c r="AU22" s="38">
        <f>'Setoran 2'!Q22</f>
        <v>0</v>
      </c>
      <c r="AV22" s="19">
        <f t="shared" si="28"/>
        <v>0</v>
      </c>
      <c r="AW22" s="19">
        <f t="shared" si="29"/>
        <v>0</v>
      </c>
      <c r="AX22" s="39">
        <f t="shared" si="30"/>
        <v>0</v>
      </c>
      <c r="AY22" s="38">
        <f t="shared" si="31"/>
        <v>0</v>
      </c>
      <c r="AZ22" s="21">
        <f t="shared" si="32"/>
        <v>0</v>
      </c>
      <c r="BA22" s="22">
        <f t="shared" si="33"/>
        <v>0</v>
      </c>
    </row>
    <row r="23" spans="1:53" ht="14.5" customHeight="1" x14ac:dyDescent="0.2">
      <c r="A23" s="54">
        <v>8</v>
      </c>
      <c r="B23" s="53" t="s">
        <v>15</v>
      </c>
      <c r="C23" s="57">
        <f>'Data '!C22</f>
        <v>900</v>
      </c>
      <c r="D23" s="57">
        <f>'Data '!D22</f>
        <v>1000</v>
      </c>
      <c r="E23" s="39">
        <f>'Setoran 2'!C23</f>
        <v>0</v>
      </c>
      <c r="F23" s="19">
        <f t="shared" si="0"/>
        <v>0</v>
      </c>
      <c r="G23" s="19">
        <f t="shared" si="1"/>
        <v>0</v>
      </c>
      <c r="H23" s="39">
        <f>'Setoran 2'!D23</f>
        <v>0</v>
      </c>
      <c r="I23" s="19">
        <f t="shared" si="2"/>
        <v>0</v>
      </c>
      <c r="J23" s="19">
        <f t="shared" si="3"/>
        <v>0</v>
      </c>
      <c r="K23" s="39">
        <f>'Setoran 2'!E23</f>
        <v>0</v>
      </c>
      <c r="L23" s="19">
        <f t="shared" si="4"/>
        <v>0</v>
      </c>
      <c r="M23" s="19">
        <f t="shared" si="5"/>
        <v>0</v>
      </c>
      <c r="N23" s="39">
        <f>'Setoran 2'!F23</f>
        <v>0</v>
      </c>
      <c r="O23" s="19">
        <f t="shared" si="6"/>
        <v>0</v>
      </c>
      <c r="P23" s="19">
        <f t="shared" si="7"/>
        <v>0</v>
      </c>
      <c r="Q23" s="39">
        <f>'Setoran 2'!G23</f>
        <v>0</v>
      </c>
      <c r="R23" s="19">
        <f t="shared" si="8"/>
        <v>0</v>
      </c>
      <c r="S23" s="19">
        <f t="shared" si="9"/>
        <v>0</v>
      </c>
      <c r="T23" s="39">
        <f>'Setoran 2'!H23</f>
        <v>0</v>
      </c>
      <c r="U23" s="19">
        <f t="shared" si="10"/>
        <v>0</v>
      </c>
      <c r="V23" s="19">
        <f t="shared" si="11"/>
        <v>0</v>
      </c>
      <c r="W23" s="39">
        <f>'Setoran 2'!I23</f>
        <v>0</v>
      </c>
      <c r="X23" s="19">
        <f t="shared" si="12"/>
        <v>0</v>
      </c>
      <c r="Y23" s="19">
        <f t="shared" si="13"/>
        <v>0</v>
      </c>
      <c r="Z23" s="39">
        <f>'Setoran 2'!J23</f>
        <v>0</v>
      </c>
      <c r="AA23" s="19">
        <f t="shared" si="14"/>
        <v>0</v>
      </c>
      <c r="AB23" s="19">
        <f t="shared" si="15"/>
        <v>0</v>
      </c>
      <c r="AC23" s="39">
        <f>'Setoran 2'!K23</f>
        <v>0</v>
      </c>
      <c r="AD23" s="19">
        <f t="shared" si="16"/>
        <v>0</v>
      </c>
      <c r="AE23" s="19">
        <f t="shared" si="17"/>
        <v>0</v>
      </c>
      <c r="AF23" s="38">
        <f>'Setoran 2'!L23</f>
        <v>0</v>
      </c>
      <c r="AG23" s="19">
        <f t="shared" si="18"/>
        <v>0</v>
      </c>
      <c r="AH23" s="19">
        <f t="shared" si="19"/>
        <v>0</v>
      </c>
      <c r="AI23" s="38">
        <f>'Setoran 2'!M23</f>
        <v>0</v>
      </c>
      <c r="AJ23" s="19">
        <f t="shared" si="20"/>
        <v>0</v>
      </c>
      <c r="AK23" s="19">
        <f t="shared" si="21"/>
        <v>0</v>
      </c>
      <c r="AL23" s="38">
        <f>'Setoran 2'!N23</f>
        <v>0</v>
      </c>
      <c r="AM23" s="19">
        <f t="shared" si="22"/>
        <v>0</v>
      </c>
      <c r="AN23" s="19">
        <f t="shared" si="23"/>
        <v>0</v>
      </c>
      <c r="AO23" s="38">
        <f>'Setoran 2'!O23</f>
        <v>0</v>
      </c>
      <c r="AP23" s="19">
        <f t="shared" si="24"/>
        <v>0</v>
      </c>
      <c r="AQ23" s="19">
        <f t="shared" si="25"/>
        <v>0</v>
      </c>
      <c r="AR23" s="38">
        <f>'Setoran 2'!P23</f>
        <v>0</v>
      </c>
      <c r="AS23" s="19">
        <f t="shared" si="26"/>
        <v>0</v>
      </c>
      <c r="AT23" s="19">
        <f t="shared" si="27"/>
        <v>0</v>
      </c>
      <c r="AU23" s="38">
        <f>'Setoran 2'!Q23</f>
        <v>0</v>
      </c>
      <c r="AV23" s="19">
        <f t="shared" si="28"/>
        <v>0</v>
      </c>
      <c r="AW23" s="19">
        <f t="shared" si="29"/>
        <v>0</v>
      </c>
      <c r="AX23" s="39">
        <f t="shared" si="30"/>
        <v>0</v>
      </c>
      <c r="AY23" s="38">
        <f t="shared" si="31"/>
        <v>0</v>
      </c>
      <c r="AZ23" s="21">
        <f t="shared" si="32"/>
        <v>0</v>
      </c>
      <c r="BA23" s="22">
        <f t="shared" si="33"/>
        <v>0</v>
      </c>
    </row>
    <row r="24" spans="1:53" ht="14.5" customHeight="1" x14ac:dyDescent="0.2">
      <c r="A24" s="54">
        <v>9</v>
      </c>
      <c r="B24" s="53" t="s">
        <v>16</v>
      </c>
      <c r="C24" s="57">
        <f>'Data '!C23</f>
        <v>900</v>
      </c>
      <c r="D24" s="57">
        <f>'Data '!D23</f>
        <v>1000</v>
      </c>
      <c r="E24" s="39">
        <f>'Setoran 2'!C24</f>
        <v>0</v>
      </c>
      <c r="F24" s="19">
        <f t="shared" si="0"/>
        <v>0</v>
      </c>
      <c r="G24" s="19">
        <f t="shared" si="1"/>
        <v>0</v>
      </c>
      <c r="H24" s="39">
        <f>'Setoran 2'!D24</f>
        <v>0</v>
      </c>
      <c r="I24" s="19">
        <f t="shared" si="2"/>
        <v>0</v>
      </c>
      <c r="J24" s="19">
        <f t="shared" si="3"/>
        <v>0</v>
      </c>
      <c r="K24" s="39">
        <f>'Setoran 2'!E24</f>
        <v>0</v>
      </c>
      <c r="L24" s="19">
        <f t="shared" si="4"/>
        <v>0</v>
      </c>
      <c r="M24" s="19">
        <f t="shared" si="5"/>
        <v>0</v>
      </c>
      <c r="N24" s="39">
        <f>'Setoran 2'!F24</f>
        <v>0</v>
      </c>
      <c r="O24" s="19">
        <f t="shared" si="6"/>
        <v>0</v>
      </c>
      <c r="P24" s="19">
        <f t="shared" si="7"/>
        <v>0</v>
      </c>
      <c r="Q24" s="39">
        <f>'Setoran 2'!G24</f>
        <v>0</v>
      </c>
      <c r="R24" s="19">
        <f t="shared" si="8"/>
        <v>0</v>
      </c>
      <c r="S24" s="19">
        <f t="shared" si="9"/>
        <v>0</v>
      </c>
      <c r="T24" s="39">
        <f>'Setoran 2'!H24</f>
        <v>0</v>
      </c>
      <c r="U24" s="19">
        <f t="shared" si="10"/>
        <v>0</v>
      </c>
      <c r="V24" s="19">
        <f t="shared" si="11"/>
        <v>0</v>
      </c>
      <c r="W24" s="39">
        <f>'Setoran 2'!I24</f>
        <v>0</v>
      </c>
      <c r="X24" s="19">
        <f t="shared" si="12"/>
        <v>0</v>
      </c>
      <c r="Y24" s="19">
        <f t="shared" si="13"/>
        <v>0</v>
      </c>
      <c r="Z24" s="39">
        <f>'Setoran 2'!J24</f>
        <v>0</v>
      </c>
      <c r="AA24" s="19">
        <f t="shared" si="14"/>
        <v>0</v>
      </c>
      <c r="AB24" s="19">
        <f t="shared" si="15"/>
        <v>0</v>
      </c>
      <c r="AC24" s="39">
        <f>'Setoran 2'!K24</f>
        <v>0</v>
      </c>
      <c r="AD24" s="19">
        <f t="shared" si="16"/>
        <v>0</v>
      </c>
      <c r="AE24" s="19">
        <f t="shared" si="17"/>
        <v>0</v>
      </c>
      <c r="AF24" s="38">
        <f>'Setoran 2'!L24</f>
        <v>0</v>
      </c>
      <c r="AG24" s="19">
        <f t="shared" si="18"/>
        <v>0</v>
      </c>
      <c r="AH24" s="19">
        <f t="shared" si="19"/>
        <v>0</v>
      </c>
      <c r="AI24" s="38">
        <f>'Setoran 2'!M24</f>
        <v>0</v>
      </c>
      <c r="AJ24" s="19">
        <f t="shared" si="20"/>
        <v>0</v>
      </c>
      <c r="AK24" s="19">
        <f t="shared" si="21"/>
        <v>0</v>
      </c>
      <c r="AL24" s="38">
        <f>'Setoran 2'!N24</f>
        <v>0</v>
      </c>
      <c r="AM24" s="19">
        <f t="shared" si="22"/>
        <v>0</v>
      </c>
      <c r="AN24" s="19">
        <f t="shared" si="23"/>
        <v>0</v>
      </c>
      <c r="AO24" s="38">
        <f>'Setoran 2'!O24</f>
        <v>0</v>
      </c>
      <c r="AP24" s="19">
        <f t="shared" si="24"/>
        <v>0</v>
      </c>
      <c r="AQ24" s="19">
        <f t="shared" si="25"/>
        <v>0</v>
      </c>
      <c r="AR24" s="38">
        <f>'Setoran 2'!P24</f>
        <v>0</v>
      </c>
      <c r="AS24" s="19">
        <f t="shared" si="26"/>
        <v>0</v>
      </c>
      <c r="AT24" s="19">
        <f t="shared" si="27"/>
        <v>0</v>
      </c>
      <c r="AU24" s="38">
        <f>'Setoran 2'!Q24</f>
        <v>0</v>
      </c>
      <c r="AV24" s="19">
        <f t="shared" si="28"/>
        <v>0</v>
      </c>
      <c r="AW24" s="19">
        <f t="shared" si="29"/>
        <v>0</v>
      </c>
      <c r="AX24" s="39">
        <f t="shared" si="30"/>
        <v>0</v>
      </c>
      <c r="AY24" s="38">
        <f t="shared" si="31"/>
        <v>0</v>
      </c>
      <c r="AZ24" s="21">
        <f t="shared" si="32"/>
        <v>0</v>
      </c>
      <c r="BA24" s="22">
        <f t="shared" si="33"/>
        <v>0</v>
      </c>
    </row>
    <row r="25" spans="1:53" ht="14.5" customHeight="1" x14ac:dyDescent="0.2">
      <c r="A25" s="54">
        <v>10</v>
      </c>
      <c r="B25" s="53" t="s">
        <v>21</v>
      </c>
      <c r="C25" s="57">
        <f>'Data '!C24</f>
        <v>1300</v>
      </c>
      <c r="D25" s="57">
        <f>'Data '!D24</f>
        <v>1500</v>
      </c>
      <c r="E25" s="39">
        <f>'Setoran 2'!C25</f>
        <v>0</v>
      </c>
      <c r="F25" s="19">
        <f t="shared" si="0"/>
        <v>0</v>
      </c>
      <c r="G25" s="19">
        <f t="shared" si="1"/>
        <v>0</v>
      </c>
      <c r="H25" s="39">
        <f>'Setoran 2'!D25</f>
        <v>0</v>
      </c>
      <c r="I25" s="19">
        <f t="shared" si="2"/>
        <v>0</v>
      </c>
      <c r="J25" s="19">
        <f t="shared" si="3"/>
        <v>0</v>
      </c>
      <c r="K25" s="39">
        <f>'Setoran 2'!E25</f>
        <v>0</v>
      </c>
      <c r="L25" s="19">
        <f t="shared" si="4"/>
        <v>0</v>
      </c>
      <c r="M25" s="19">
        <f t="shared" si="5"/>
        <v>0</v>
      </c>
      <c r="N25" s="39">
        <f>'Setoran 2'!F25</f>
        <v>0</v>
      </c>
      <c r="O25" s="19">
        <f t="shared" si="6"/>
        <v>0</v>
      </c>
      <c r="P25" s="19">
        <f t="shared" si="7"/>
        <v>0</v>
      </c>
      <c r="Q25" s="39">
        <f>'Setoran 2'!G25</f>
        <v>0</v>
      </c>
      <c r="R25" s="19">
        <f t="shared" si="8"/>
        <v>0</v>
      </c>
      <c r="S25" s="19">
        <f t="shared" si="9"/>
        <v>0</v>
      </c>
      <c r="T25" s="39">
        <f>'Setoran 2'!H25</f>
        <v>0</v>
      </c>
      <c r="U25" s="19">
        <f t="shared" si="10"/>
        <v>0</v>
      </c>
      <c r="V25" s="19">
        <f t="shared" si="11"/>
        <v>0</v>
      </c>
      <c r="W25" s="39">
        <f>'Setoran 2'!I25</f>
        <v>0</v>
      </c>
      <c r="X25" s="19">
        <f t="shared" si="12"/>
        <v>0</v>
      </c>
      <c r="Y25" s="19">
        <f t="shared" si="13"/>
        <v>0</v>
      </c>
      <c r="Z25" s="39">
        <f>'Setoran 2'!J25</f>
        <v>0</v>
      </c>
      <c r="AA25" s="19">
        <f t="shared" si="14"/>
        <v>0</v>
      </c>
      <c r="AB25" s="19">
        <f t="shared" si="15"/>
        <v>0</v>
      </c>
      <c r="AC25" s="39">
        <f>'Setoran 2'!K25</f>
        <v>0</v>
      </c>
      <c r="AD25" s="19">
        <f t="shared" si="16"/>
        <v>0</v>
      </c>
      <c r="AE25" s="19">
        <f t="shared" si="17"/>
        <v>0</v>
      </c>
      <c r="AF25" s="38">
        <f>'Setoran 2'!L25</f>
        <v>0</v>
      </c>
      <c r="AG25" s="19">
        <f t="shared" si="18"/>
        <v>0</v>
      </c>
      <c r="AH25" s="19">
        <f t="shared" si="19"/>
        <v>0</v>
      </c>
      <c r="AI25" s="38">
        <f>'Setoran 2'!M25</f>
        <v>0</v>
      </c>
      <c r="AJ25" s="19">
        <f t="shared" si="20"/>
        <v>0</v>
      </c>
      <c r="AK25" s="19">
        <f t="shared" si="21"/>
        <v>0</v>
      </c>
      <c r="AL25" s="38">
        <f>'Setoran 2'!N25</f>
        <v>0</v>
      </c>
      <c r="AM25" s="19">
        <f t="shared" si="22"/>
        <v>0</v>
      </c>
      <c r="AN25" s="19">
        <f t="shared" si="23"/>
        <v>0</v>
      </c>
      <c r="AO25" s="38">
        <f>'Setoran 2'!O25</f>
        <v>0</v>
      </c>
      <c r="AP25" s="19">
        <f t="shared" si="24"/>
        <v>0</v>
      </c>
      <c r="AQ25" s="19">
        <f t="shared" si="25"/>
        <v>0</v>
      </c>
      <c r="AR25" s="38">
        <f>'Setoran 2'!P25</f>
        <v>0</v>
      </c>
      <c r="AS25" s="19">
        <f t="shared" si="26"/>
        <v>0</v>
      </c>
      <c r="AT25" s="19">
        <f t="shared" si="27"/>
        <v>0</v>
      </c>
      <c r="AU25" s="38">
        <f>'Setoran 2'!Q25</f>
        <v>0</v>
      </c>
      <c r="AV25" s="19">
        <f t="shared" si="28"/>
        <v>0</v>
      </c>
      <c r="AW25" s="19">
        <f t="shared" si="29"/>
        <v>0</v>
      </c>
      <c r="AX25" s="39">
        <f t="shared" si="30"/>
        <v>0</v>
      </c>
      <c r="AY25" s="38">
        <f t="shared" si="31"/>
        <v>0</v>
      </c>
      <c r="AZ25" s="21">
        <f t="shared" si="32"/>
        <v>0</v>
      </c>
      <c r="BA25" s="22">
        <f t="shared" si="33"/>
        <v>0</v>
      </c>
    </row>
    <row r="26" spans="1:53" ht="14.5" customHeight="1" x14ac:dyDescent="0.2">
      <c r="A26" s="54">
        <v>11</v>
      </c>
      <c r="B26" s="53" t="s">
        <v>22</v>
      </c>
      <c r="C26" s="57">
        <f>'Data '!C25</f>
        <v>800</v>
      </c>
      <c r="D26" s="57">
        <f>'Data '!D25</f>
        <v>1000</v>
      </c>
      <c r="E26" s="39">
        <f>'Setoran 2'!C26</f>
        <v>0</v>
      </c>
      <c r="F26" s="19">
        <f t="shared" si="0"/>
        <v>0</v>
      </c>
      <c r="G26" s="19">
        <f t="shared" si="1"/>
        <v>0</v>
      </c>
      <c r="H26" s="39">
        <f>'Setoran 2'!D26</f>
        <v>0</v>
      </c>
      <c r="I26" s="19">
        <f t="shared" si="2"/>
        <v>0</v>
      </c>
      <c r="J26" s="19">
        <f t="shared" si="3"/>
        <v>0</v>
      </c>
      <c r="K26" s="39">
        <f>'Setoran 2'!E26</f>
        <v>0</v>
      </c>
      <c r="L26" s="19">
        <f t="shared" si="4"/>
        <v>0</v>
      </c>
      <c r="M26" s="19">
        <f t="shared" si="5"/>
        <v>0</v>
      </c>
      <c r="N26" s="39">
        <f>'Setoran 2'!F26</f>
        <v>0</v>
      </c>
      <c r="O26" s="19">
        <f t="shared" si="6"/>
        <v>0</v>
      </c>
      <c r="P26" s="19">
        <f t="shared" si="7"/>
        <v>0</v>
      </c>
      <c r="Q26" s="39">
        <f>'Setoran 2'!G26</f>
        <v>0</v>
      </c>
      <c r="R26" s="19">
        <f t="shared" si="8"/>
        <v>0</v>
      </c>
      <c r="S26" s="19">
        <f t="shared" si="9"/>
        <v>0</v>
      </c>
      <c r="T26" s="39">
        <f>'Setoran 2'!H26</f>
        <v>0</v>
      </c>
      <c r="U26" s="19">
        <f t="shared" si="10"/>
        <v>0</v>
      </c>
      <c r="V26" s="19">
        <f t="shared" si="11"/>
        <v>0</v>
      </c>
      <c r="W26" s="39">
        <f>'Setoran 2'!I26</f>
        <v>0</v>
      </c>
      <c r="X26" s="19">
        <f t="shared" si="12"/>
        <v>0</v>
      </c>
      <c r="Y26" s="19">
        <f t="shared" si="13"/>
        <v>0</v>
      </c>
      <c r="Z26" s="39">
        <f>'Setoran 2'!J26</f>
        <v>0</v>
      </c>
      <c r="AA26" s="19">
        <f t="shared" si="14"/>
        <v>0</v>
      </c>
      <c r="AB26" s="19">
        <f t="shared" si="15"/>
        <v>0</v>
      </c>
      <c r="AC26" s="39">
        <f>'Setoran 2'!K26</f>
        <v>0</v>
      </c>
      <c r="AD26" s="19">
        <f t="shared" si="16"/>
        <v>0</v>
      </c>
      <c r="AE26" s="19">
        <f t="shared" si="17"/>
        <v>0</v>
      </c>
      <c r="AF26" s="38">
        <f>'Setoran 2'!L26</f>
        <v>0</v>
      </c>
      <c r="AG26" s="19">
        <f t="shared" si="18"/>
        <v>0</v>
      </c>
      <c r="AH26" s="19">
        <f t="shared" si="19"/>
        <v>0</v>
      </c>
      <c r="AI26" s="38">
        <f>'Setoran 2'!M26</f>
        <v>0</v>
      </c>
      <c r="AJ26" s="19">
        <f t="shared" si="20"/>
        <v>0</v>
      </c>
      <c r="AK26" s="19">
        <f t="shared" si="21"/>
        <v>0</v>
      </c>
      <c r="AL26" s="38">
        <f>'Setoran 2'!N26</f>
        <v>0</v>
      </c>
      <c r="AM26" s="19">
        <f t="shared" si="22"/>
        <v>0</v>
      </c>
      <c r="AN26" s="19">
        <f t="shared" si="23"/>
        <v>0</v>
      </c>
      <c r="AO26" s="38">
        <f>'Setoran 2'!O26</f>
        <v>0</v>
      </c>
      <c r="AP26" s="19">
        <f t="shared" si="24"/>
        <v>0</v>
      </c>
      <c r="AQ26" s="19">
        <f t="shared" si="25"/>
        <v>0</v>
      </c>
      <c r="AR26" s="38">
        <f>'Setoran 2'!P26</f>
        <v>0</v>
      </c>
      <c r="AS26" s="19">
        <f t="shared" si="26"/>
        <v>0</v>
      </c>
      <c r="AT26" s="19">
        <f t="shared" si="27"/>
        <v>0</v>
      </c>
      <c r="AU26" s="38">
        <f>'Setoran 2'!Q26</f>
        <v>0</v>
      </c>
      <c r="AV26" s="19">
        <f t="shared" si="28"/>
        <v>0</v>
      </c>
      <c r="AW26" s="19">
        <f t="shared" si="29"/>
        <v>0</v>
      </c>
      <c r="AX26" s="39">
        <f t="shared" si="30"/>
        <v>0</v>
      </c>
      <c r="AY26" s="38">
        <f t="shared" si="31"/>
        <v>0</v>
      </c>
      <c r="AZ26" s="21">
        <f t="shared" si="32"/>
        <v>0</v>
      </c>
      <c r="BA26" s="22">
        <f t="shared" si="33"/>
        <v>0</v>
      </c>
    </row>
    <row r="27" spans="1:53" ht="14.5" customHeight="1" x14ac:dyDescent="0.2">
      <c r="A27" s="78" t="s">
        <v>83</v>
      </c>
      <c r="B27" s="78"/>
      <c r="C27" s="62"/>
      <c r="D27" s="62"/>
      <c r="E27" s="39"/>
      <c r="F27" s="19"/>
      <c r="G27" s="19"/>
      <c r="H27" s="39"/>
      <c r="I27" s="19"/>
      <c r="J27" s="19"/>
      <c r="K27" s="39"/>
      <c r="L27" s="19"/>
      <c r="M27" s="19"/>
      <c r="N27" s="39"/>
      <c r="O27" s="19"/>
      <c r="P27" s="19"/>
      <c r="Q27" s="39"/>
      <c r="R27" s="19"/>
      <c r="S27" s="19"/>
      <c r="T27" s="39"/>
      <c r="U27" s="19"/>
      <c r="V27" s="19"/>
      <c r="W27" s="39"/>
      <c r="X27" s="19"/>
      <c r="Y27" s="19"/>
      <c r="Z27" s="39"/>
      <c r="AA27" s="19"/>
      <c r="AB27" s="19"/>
      <c r="AC27" s="39"/>
      <c r="AD27" s="19"/>
      <c r="AE27" s="19"/>
      <c r="AF27" s="38"/>
      <c r="AG27" s="19"/>
      <c r="AH27" s="19"/>
      <c r="AI27" s="38"/>
      <c r="AJ27" s="19"/>
      <c r="AK27" s="19"/>
      <c r="AL27" s="38"/>
      <c r="AM27" s="19"/>
      <c r="AN27" s="19"/>
      <c r="AO27" s="38"/>
      <c r="AP27" s="19"/>
      <c r="AQ27" s="19"/>
      <c r="AR27" s="38"/>
      <c r="AS27" s="19"/>
      <c r="AT27" s="19"/>
      <c r="AU27" s="38"/>
      <c r="AV27" s="19"/>
      <c r="AW27" s="19"/>
      <c r="AX27" s="39"/>
      <c r="AY27" s="38"/>
      <c r="AZ27" s="21"/>
      <c r="BA27" s="22"/>
    </row>
    <row r="28" spans="1:53" ht="14.5" customHeight="1" x14ac:dyDescent="0.2">
      <c r="A28" s="54">
        <v>1</v>
      </c>
      <c r="B28" s="53" t="s">
        <v>17</v>
      </c>
      <c r="C28" s="57">
        <f>'Data '!C26</f>
        <v>1100</v>
      </c>
      <c r="D28" s="57">
        <f>'Data '!D26</f>
        <v>1200</v>
      </c>
      <c r="E28" s="39">
        <f>'Setoran 2'!C28</f>
        <v>0</v>
      </c>
      <c r="F28" s="19">
        <f t="shared" si="0"/>
        <v>0</v>
      </c>
      <c r="G28" s="19">
        <f t="shared" si="1"/>
        <v>0</v>
      </c>
      <c r="H28" s="39">
        <f>'Setoran 2'!D28</f>
        <v>0</v>
      </c>
      <c r="I28" s="19">
        <f t="shared" si="2"/>
        <v>0</v>
      </c>
      <c r="J28" s="19">
        <f t="shared" si="3"/>
        <v>0</v>
      </c>
      <c r="K28" s="39">
        <f>'Setoran 2'!E28</f>
        <v>0</v>
      </c>
      <c r="L28" s="19">
        <f t="shared" si="4"/>
        <v>0</v>
      </c>
      <c r="M28" s="19">
        <f t="shared" si="5"/>
        <v>0</v>
      </c>
      <c r="N28" s="39">
        <f>'Setoran 2'!F28</f>
        <v>0</v>
      </c>
      <c r="O28" s="19">
        <f t="shared" si="6"/>
        <v>0</v>
      </c>
      <c r="P28" s="19">
        <f t="shared" si="7"/>
        <v>0</v>
      </c>
      <c r="Q28" s="39">
        <f>'Setoran 2'!G28</f>
        <v>0</v>
      </c>
      <c r="R28" s="19">
        <f t="shared" si="8"/>
        <v>0</v>
      </c>
      <c r="S28" s="19">
        <f t="shared" si="9"/>
        <v>0</v>
      </c>
      <c r="T28" s="39">
        <f>'Setoran 2'!H28</f>
        <v>0</v>
      </c>
      <c r="U28" s="19">
        <f t="shared" si="10"/>
        <v>0</v>
      </c>
      <c r="V28" s="19">
        <f t="shared" si="11"/>
        <v>0</v>
      </c>
      <c r="W28" s="39">
        <f>'Setoran 2'!I28</f>
        <v>0</v>
      </c>
      <c r="X28" s="19">
        <f t="shared" si="12"/>
        <v>0</v>
      </c>
      <c r="Y28" s="19">
        <f t="shared" si="13"/>
        <v>0</v>
      </c>
      <c r="Z28" s="39">
        <f>'Setoran 2'!J28</f>
        <v>0</v>
      </c>
      <c r="AA28" s="19">
        <f t="shared" si="14"/>
        <v>0</v>
      </c>
      <c r="AB28" s="19">
        <f t="shared" si="15"/>
        <v>0</v>
      </c>
      <c r="AC28" s="39">
        <f>'Setoran 2'!K28</f>
        <v>0</v>
      </c>
      <c r="AD28" s="19">
        <f t="shared" si="16"/>
        <v>0</v>
      </c>
      <c r="AE28" s="19">
        <f t="shared" si="17"/>
        <v>0</v>
      </c>
      <c r="AF28" s="38">
        <f>'Setoran 2'!L28</f>
        <v>0</v>
      </c>
      <c r="AG28" s="19">
        <f t="shared" si="18"/>
        <v>0</v>
      </c>
      <c r="AH28" s="19">
        <f t="shared" si="19"/>
        <v>0</v>
      </c>
      <c r="AI28" s="38">
        <f>'Setoran 2'!M28</f>
        <v>0</v>
      </c>
      <c r="AJ28" s="19">
        <f t="shared" si="20"/>
        <v>0</v>
      </c>
      <c r="AK28" s="19">
        <f t="shared" si="21"/>
        <v>0</v>
      </c>
      <c r="AL28" s="38">
        <f>'Setoran 2'!N28</f>
        <v>0</v>
      </c>
      <c r="AM28" s="19">
        <f t="shared" si="22"/>
        <v>0</v>
      </c>
      <c r="AN28" s="19">
        <f t="shared" si="23"/>
        <v>0</v>
      </c>
      <c r="AO28" s="38">
        <f>'Setoran 2'!O28</f>
        <v>0</v>
      </c>
      <c r="AP28" s="19">
        <f t="shared" si="24"/>
        <v>0</v>
      </c>
      <c r="AQ28" s="19">
        <f t="shared" si="25"/>
        <v>0</v>
      </c>
      <c r="AR28" s="38">
        <f>'Setoran 2'!P28</f>
        <v>0</v>
      </c>
      <c r="AS28" s="19">
        <f t="shared" si="26"/>
        <v>0</v>
      </c>
      <c r="AT28" s="19">
        <f t="shared" si="27"/>
        <v>0</v>
      </c>
      <c r="AU28" s="38">
        <f>'Setoran 2'!Q28</f>
        <v>0</v>
      </c>
      <c r="AV28" s="19">
        <f t="shared" si="28"/>
        <v>0</v>
      </c>
      <c r="AW28" s="19">
        <f t="shared" si="29"/>
        <v>0</v>
      </c>
      <c r="AX28" s="39">
        <f t="shared" si="30"/>
        <v>0</v>
      </c>
      <c r="AY28" s="38">
        <f t="shared" si="31"/>
        <v>0</v>
      </c>
      <c r="AZ28" s="21">
        <f t="shared" si="32"/>
        <v>0</v>
      </c>
      <c r="BA28" s="22">
        <f t="shared" si="33"/>
        <v>0</v>
      </c>
    </row>
    <row r="29" spans="1:53" ht="14.5" customHeight="1" x14ac:dyDescent="0.2">
      <c r="A29" s="54">
        <v>2</v>
      </c>
      <c r="B29" s="53" t="s">
        <v>18</v>
      </c>
      <c r="C29" s="57">
        <f>'Data '!C27</f>
        <v>1900</v>
      </c>
      <c r="D29" s="57">
        <f>'Data '!D27</f>
        <v>2000</v>
      </c>
      <c r="E29" s="39">
        <f>'Setoran 2'!C29</f>
        <v>0</v>
      </c>
      <c r="F29" s="19">
        <f t="shared" si="0"/>
        <v>0</v>
      </c>
      <c r="G29" s="19">
        <f t="shared" si="1"/>
        <v>0</v>
      </c>
      <c r="H29" s="39">
        <f>'Setoran 2'!D29</f>
        <v>0</v>
      </c>
      <c r="I29" s="19">
        <f t="shared" si="2"/>
        <v>0</v>
      </c>
      <c r="J29" s="19">
        <f t="shared" si="3"/>
        <v>0</v>
      </c>
      <c r="K29" s="39">
        <f>'Setoran 2'!E29</f>
        <v>0</v>
      </c>
      <c r="L29" s="19">
        <f t="shared" si="4"/>
        <v>0</v>
      </c>
      <c r="M29" s="19">
        <f t="shared" si="5"/>
        <v>0</v>
      </c>
      <c r="N29" s="39">
        <f>'Setoran 2'!F29</f>
        <v>0</v>
      </c>
      <c r="O29" s="19">
        <f t="shared" si="6"/>
        <v>0</v>
      </c>
      <c r="P29" s="19">
        <f t="shared" si="7"/>
        <v>0</v>
      </c>
      <c r="Q29" s="39">
        <f>'Setoran 2'!G29</f>
        <v>0</v>
      </c>
      <c r="R29" s="19">
        <f t="shared" si="8"/>
        <v>0</v>
      </c>
      <c r="S29" s="19">
        <f t="shared" si="9"/>
        <v>0</v>
      </c>
      <c r="T29" s="39">
        <f>'Setoran 2'!H29</f>
        <v>0</v>
      </c>
      <c r="U29" s="19">
        <f t="shared" si="10"/>
        <v>0</v>
      </c>
      <c r="V29" s="19">
        <f t="shared" si="11"/>
        <v>0</v>
      </c>
      <c r="W29" s="39">
        <f>'Setoran 2'!I29</f>
        <v>0</v>
      </c>
      <c r="X29" s="19">
        <f t="shared" si="12"/>
        <v>0</v>
      </c>
      <c r="Y29" s="19">
        <f t="shared" si="13"/>
        <v>0</v>
      </c>
      <c r="Z29" s="39">
        <f>'Setoran 2'!J29</f>
        <v>0</v>
      </c>
      <c r="AA29" s="19">
        <f t="shared" si="14"/>
        <v>0</v>
      </c>
      <c r="AB29" s="19">
        <f t="shared" si="15"/>
        <v>0</v>
      </c>
      <c r="AC29" s="39">
        <f>'Setoran 2'!K29</f>
        <v>0</v>
      </c>
      <c r="AD29" s="19">
        <f t="shared" si="16"/>
        <v>0</v>
      </c>
      <c r="AE29" s="19">
        <f t="shared" si="17"/>
        <v>0</v>
      </c>
      <c r="AF29" s="38">
        <f>'Setoran 2'!L29</f>
        <v>0</v>
      </c>
      <c r="AG29" s="19">
        <f t="shared" si="18"/>
        <v>0</v>
      </c>
      <c r="AH29" s="19">
        <f t="shared" si="19"/>
        <v>0</v>
      </c>
      <c r="AI29" s="38">
        <f>'Setoran 2'!M29</f>
        <v>0</v>
      </c>
      <c r="AJ29" s="19">
        <f t="shared" si="20"/>
        <v>0</v>
      </c>
      <c r="AK29" s="19">
        <f t="shared" si="21"/>
        <v>0</v>
      </c>
      <c r="AL29" s="38">
        <f>'Setoran 2'!N29</f>
        <v>0</v>
      </c>
      <c r="AM29" s="19">
        <f t="shared" si="22"/>
        <v>0</v>
      </c>
      <c r="AN29" s="19">
        <f t="shared" si="23"/>
        <v>0</v>
      </c>
      <c r="AO29" s="38">
        <f>'Setoran 2'!O29</f>
        <v>0</v>
      </c>
      <c r="AP29" s="19">
        <f t="shared" si="24"/>
        <v>0</v>
      </c>
      <c r="AQ29" s="19">
        <f t="shared" si="25"/>
        <v>0</v>
      </c>
      <c r="AR29" s="38">
        <f>'Setoran 2'!P29</f>
        <v>0</v>
      </c>
      <c r="AS29" s="19">
        <f t="shared" si="26"/>
        <v>0</v>
      </c>
      <c r="AT29" s="19">
        <f t="shared" si="27"/>
        <v>0</v>
      </c>
      <c r="AU29" s="38">
        <f>'Setoran 2'!Q29</f>
        <v>0</v>
      </c>
      <c r="AV29" s="19">
        <f t="shared" si="28"/>
        <v>0</v>
      </c>
      <c r="AW29" s="19">
        <f t="shared" si="29"/>
        <v>0</v>
      </c>
      <c r="AX29" s="39">
        <f t="shared" si="30"/>
        <v>0</v>
      </c>
      <c r="AY29" s="38">
        <f t="shared" si="31"/>
        <v>0</v>
      </c>
      <c r="AZ29" s="21">
        <f t="shared" si="32"/>
        <v>0</v>
      </c>
      <c r="BA29" s="22">
        <f t="shared" si="33"/>
        <v>0</v>
      </c>
    </row>
    <row r="30" spans="1:53" ht="14.5" customHeight="1" x14ac:dyDescent="0.2">
      <c r="A30" s="54">
        <v>3</v>
      </c>
      <c r="B30" s="53" t="s">
        <v>19</v>
      </c>
      <c r="C30" s="57">
        <f>'Data '!C28</f>
        <v>900</v>
      </c>
      <c r="D30" s="57">
        <f>'Data '!D28</f>
        <v>1000</v>
      </c>
      <c r="E30" s="39">
        <f>'Setoran 2'!C30</f>
        <v>0</v>
      </c>
      <c r="F30" s="19">
        <f t="shared" si="0"/>
        <v>0</v>
      </c>
      <c r="G30" s="19">
        <f t="shared" si="1"/>
        <v>0</v>
      </c>
      <c r="H30" s="39">
        <f>'Setoran 2'!D30</f>
        <v>0</v>
      </c>
      <c r="I30" s="19">
        <f t="shared" si="2"/>
        <v>0</v>
      </c>
      <c r="J30" s="19">
        <f t="shared" si="3"/>
        <v>0</v>
      </c>
      <c r="K30" s="39">
        <f>'Setoran 2'!E30</f>
        <v>0</v>
      </c>
      <c r="L30" s="19">
        <f t="shared" si="4"/>
        <v>0</v>
      </c>
      <c r="M30" s="19">
        <f t="shared" si="5"/>
        <v>0</v>
      </c>
      <c r="N30" s="39">
        <f>'Setoran 2'!F30</f>
        <v>0</v>
      </c>
      <c r="O30" s="19">
        <f t="shared" si="6"/>
        <v>0</v>
      </c>
      <c r="P30" s="19">
        <f t="shared" si="7"/>
        <v>0</v>
      </c>
      <c r="Q30" s="39">
        <f>'Setoran 2'!G30</f>
        <v>0</v>
      </c>
      <c r="R30" s="19">
        <f t="shared" si="8"/>
        <v>0</v>
      </c>
      <c r="S30" s="19">
        <f t="shared" si="9"/>
        <v>0</v>
      </c>
      <c r="T30" s="39">
        <f>'Setoran 2'!H30</f>
        <v>0</v>
      </c>
      <c r="U30" s="19">
        <f t="shared" si="10"/>
        <v>0</v>
      </c>
      <c r="V30" s="19">
        <f t="shared" si="11"/>
        <v>0</v>
      </c>
      <c r="W30" s="39">
        <f>'Setoran 2'!I30</f>
        <v>0</v>
      </c>
      <c r="X30" s="19">
        <f t="shared" si="12"/>
        <v>0</v>
      </c>
      <c r="Y30" s="19">
        <f t="shared" si="13"/>
        <v>0</v>
      </c>
      <c r="Z30" s="39">
        <f>'Setoran 2'!J30</f>
        <v>0</v>
      </c>
      <c r="AA30" s="19">
        <f t="shared" si="14"/>
        <v>0</v>
      </c>
      <c r="AB30" s="19">
        <f t="shared" si="15"/>
        <v>0</v>
      </c>
      <c r="AC30" s="39">
        <f>'Setoran 2'!K30</f>
        <v>0</v>
      </c>
      <c r="AD30" s="19">
        <f t="shared" si="16"/>
        <v>0</v>
      </c>
      <c r="AE30" s="19">
        <f t="shared" si="17"/>
        <v>0</v>
      </c>
      <c r="AF30" s="38">
        <f>'Setoran 2'!L30</f>
        <v>0</v>
      </c>
      <c r="AG30" s="19">
        <f t="shared" si="18"/>
        <v>0</v>
      </c>
      <c r="AH30" s="19">
        <f t="shared" si="19"/>
        <v>0</v>
      </c>
      <c r="AI30" s="38">
        <f>'Setoran 2'!M30</f>
        <v>0</v>
      </c>
      <c r="AJ30" s="19">
        <f t="shared" si="20"/>
        <v>0</v>
      </c>
      <c r="AK30" s="19">
        <f t="shared" si="21"/>
        <v>0</v>
      </c>
      <c r="AL30" s="38">
        <f>'Setoran 2'!N30</f>
        <v>0</v>
      </c>
      <c r="AM30" s="19">
        <f t="shared" si="22"/>
        <v>0</v>
      </c>
      <c r="AN30" s="19">
        <f t="shared" si="23"/>
        <v>0</v>
      </c>
      <c r="AO30" s="38">
        <f>'Setoran 2'!O30</f>
        <v>0</v>
      </c>
      <c r="AP30" s="19">
        <f t="shared" si="24"/>
        <v>0</v>
      </c>
      <c r="AQ30" s="19">
        <f t="shared" si="25"/>
        <v>0</v>
      </c>
      <c r="AR30" s="38">
        <f>'Setoran 2'!P30</f>
        <v>0</v>
      </c>
      <c r="AS30" s="19">
        <f t="shared" si="26"/>
        <v>0</v>
      </c>
      <c r="AT30" s="19">
        <f t="shared" si="27"/>
        <v>0</v>
      </c>
      <c r="AU30" s="38">
        <f>'Setoran 2'!Q30</f>
        <v>0</v>
      </c>
      <c r="AV30" s="19">
        <f t="shared" si="28"/>
        <v>0</v>
      </c>
      <c r="AW30" s="19">
        <f t="shared" si="29"/>
        <v>0</v>
      </c>
      <c r="AX30" s="39">
        <f t="shared" si="30"/>
        <v>0</v>
      </c>
      <c r="AY30" s="38">
        <f t="shared" si="31"/>
        <v>0</v>
      </c>
      <c r="AZ30" s="21">
        <f t="shared" si="32"/>
        <v>0</v>
      </c>
      <c r="BA30" s="22">
        <f t="shared" si="33"/>
        <v>0</v>
      </c>
    </row>
    <row r="31" spans="1:53" ht="14.5" customHeight="1" x14ac:dyDescent="0.2">
      <c r="A31" s="78" t="s">
        <v>85</v>
      </c>
      <c r="B31" s="78"/>
      <c r="C31" s="59"/>
      <c r="D31" s="59"/>
      <c r="E31" s="39"/>
      <c r="F31" s="19"/>
      <c r="G31" s="19"/>
      <c r="H31" s="39"/>
      <c r="I31" s="19"/>
      <c r="J31" s="19"/>
      <c r="K31" s="39"/>
      <c r="L31" s="19"/>
      <c r="M31" s="19"/>
      <c r="N31" s="39"/>
      <c r="O31" s="19"/>
      <c r="P31" s="19"/>
      <c r="Q31" s="39"/>
      <c r="R31" s="19"/>
      <c r="S31" s="19"/>
      <c r="T31" s="39"/>
      <c r="U31" s="19"/>
      <c r="V31" s="19"/>
      <c r="W31" s="39"/>
      <c r="X31" s="19"/>
      <c r="Y31" s="19"/>
      <c r="Z31" s="39"/>
      <c r="AA31" s="19"/>
      <c r="AB31" s="19"/>
      <c r="AC31" s="39"/>
      <c r="AD31" s="19"/>
      <c r="AE31" s="19"/>
      <c r="AF31" s="38"/>
      <c r="AG31" s="19"/>
      <c r="AH31" s="19"/>
      <c r="AI31" s="38"/>
      <c r="AJ31" s="19"/>
      <c r="AK31" s="19"/>
      <c r="AL31" s="38"/>
      <c r="AM31" s="19"/>
      <c r="AN31" s="19"/>
      <c r="AO31" s="38"/>
      <c r="AP31" s="19"/>
      <c r="AQ31" s="19"/>
      <c r="AR31" s="38"/>
      <c r="AS31" s="19"/>
      <c r="AT31" s="19"/>
      <c r="AU31" s="38"/>
      <c r="AV31" s="19"/>
      <c r="AW31" s="19"/>
      <c r="AX31" s="39"/>
      <c r="AY31" s="38"/>
      <c r="AZ31" s="21"/>
      <c r="BA31" s="22"/>
    </row>
    <row r="32" spans="1:53" ht="14.5" customHeight="1" x14ac:dyDescent="0.2">
      <c r="A32" s="54">
        <v>1</v>
      </c>
      <c r="B32" s="53" t="s">
        <v>23</v>
      </c>
      <c r="C32" s="57">
        <f>'Data '!C29</f>
        <v>400</v>
      </c>
      <c r="D32" s="57">
        <f>'Data '!D29</f>
        <v>500</v>
      </c>
      <c r="E32" s="39">
        <f>'Setoran 2'!C32</f>
        <v>0</v>
      </c>
      <c r="F32" s="19">
        <f t="shared" si="0"/>
        <v>0</v>
      </c>
      <c r="G32" s="19">
        <f t="shared" si="1"/>
        <v>0</v>
      </c>
      <c r="H32" s="39">
        <f>'Setoran 2'!D32</f>
        <v>0</v>
      </c>
      <c r="I32" s="19">
        <f t="shared" si="2"/>
        <v>0</v>
      </c>
      <c r="J32" s="19">
        <f t="shared" si="3"/>
        <v>0</v>
      </c>
      <c r="K32" s="39">
        <f>'Setoran 2'!E32</f>
        <v>0</v>
      </c>
      <c r="L32" s="19">
        <f t="shared" si="4"/>
        <v>0</v>
      </c>
      <c r="M32" s="19">
        <f t="shared" si="5"/>
        <v>0</v>
      </c>
      <c r="N32" s="39">
        <f>'Setoran 2'!F32</f>
        <v>0</v>
      </c>
      <c r="O32" s="19">
        <f t="shared" si="6"/>
        <v>0</v>
      </c>
      <c r="P32" s="19">
        <f t="shared" si="7"/>
        <v>0</v>
      </c>
      <c r="Q32" s="39">
        <f>'Setoran 2'!G32</f>
        <v>0</v>
      </c>
      <c r="R32" s="19">
        <f t="shared" si="8"/>
        <v>0</v>
      </c>
      <c r="S32" s="19">
        <f t="shared" si="9"/>
        <v>0</v>
      </c>
      <c r="T32" s="39">
        <f>'Setoran 2'!H32</f>
        <v>0</v>
      </c>
      <c r="U32" s="19">
        <f t="shared" si="10"/>
        <v>0</v>
      </c>
      <c r="V32" s="19">
        <f t="shared" si="11"/>
        <v>0</v>
      </c>
      <c r="W32" s="39">
        <f>'Setoran 2'!I32</f>
        <v>0</v>
      </c>
      <c r="X32" s="19">
        <f t="shared" si="12"/>
        <v>0</v>
      </c>
      <c r="Y32" s="19">
        <f t="shared" si="13"/>
        <v>0</v>
      </c>
      <c r="Z32" s="39">
        <f>'Setoran 2'!J32</f>
        <v>0</v>
      </c>
      <c r="AA32" s="19">
        <f t="shared" si="14"/>
        <v>0</v>
      </c>
      <c r="AB32" s="19">
        <f t="shared" si="15"/>
        <v>0</v>
      </c>
      <c r="AC32" s="39">
        <f>'Setoran 2'!K32</f>
        <v>0</v>
      </c>
      <c r="AD32" s="19">
        <f t="shared" si="16"/>
        <v>0</v>
      </c>
      <c r="AE32" s="19">
        <f t="shared" si="17"/>
        <v>0</v>
      </c>
      <c r="AF32" s="38">
        <f>'Setoran 2'!L32</f>
        <v>0</v>
      </c>
      <c r="AG32" s="19">
        <f t="shared" si="18"/>
        <v>0</v>
      </c>
      <c r="AH32" s="19">
        <f t="shared" si="19"/>
        <v>0</v>
      </c>
      <c r="AI32" s="38">
        <f>'Setoran 2'!M32</f>
        <v>0</v>
      </c>
      <c r="AJ32" s="19">
        <f t="shared" si="20"/>
        <v>0</v>
      </c>
      <c r="AK32" s="19">
        <f t="shared" si="21"/>
        <v>0</v>
      </c>
      <c r="AL32" s="38">
        <f>'Setoran 2'!N32</f>
        <v>0</v>
      </c>
      <c r="AM32" s="19">
        <f t="shared" si="22"/>
        <v>0</v>
      </c>
      <c r="AN32" s="19">
        <f t="shared" si="23"/>
        <v>0</v>
      </c>
      <c r="AO32" s="38">
        <f>'Setoran 2'!O32</f>
        <v>0</v>
      </c>
      <c r="AP32" s="19">
        <f t="shared" si="24"/>
        <v>0</v>
      </c>
      <c r="AQ32" s="19">
        <f t="shared" si="25"/>
        <v>0</v>
      </c>
      <c r="AR32" s="38">
        <f>'Setoran 2'!P32</f>
        <v>0</v>
      </c>
      <c r="AS32" s="19">
        <f t="shared" si="26"/>
        <v>0</v>
      </c>
      <c r="AT32" s="19">
        <f t="shared" si="27"/>
        <v>0</v>
      </c>
      <c r="AU32" s="38">
        <f>'Setoran 2'!Q32</f>
        <v>0</v>
      </c>
      <c r="AV32" s="19">
        <f t="shared" si="28"/>
        <v>0</v>
      </c>
      <c r="AW32" s="19">
        <f t="shared" si="29"/>
        <v>0</v>
      </c>
      <c r="AX32" s="39">
        <f t="shared" si="30"/>
        <v>0</v>
      </c>
      <c r="AY32" s="38">
        <f t="shared" si="31"/>
        <v>0</v>
      </c>
      <c r="AZ32" s="21">
        <f t="shared" si="32"/>
        <v>0</v>
      </c>
      <c r="BA32" s="22">
        <f t="shared" si="33"/>
        <v>0</v>
      </c>
    </row>
    <row r="33" spans="1:53" ht="14.5" customHeight="1" x14ac:dyDescent="0.2">
      <c r="A33" s="54">
        <v>2</v>
      </c>
      <c r="B33" s="53" t="s">
        <v>24</v>
      </c>
      <c r="C33" s="57">
        <f>'Data '!C30</f>
        <v>50</v>
      </c>
      <c r="D33" s="57">
        <f>'Data '!D30</f>
        <v>100</v>
      </c>
      <c r="E33" s="39">
        <f>'Setoran 2'!C33</f>
        <v>0</v>
      </c>
      <c r="F33" s="19">
        <f t="shared" si="0"/>
        <v>0</v>
      </c>
      <c r="G33" s="19">
        <f t="shared" si="1"/>
        <v>0</v>
      </c>
      <c r="H33" s="39">
        <f>'Setoran 2'!D33</f>
        <v>0</v>
      </c>
      <c r="I33" s="19">
        <f t="shared" si="2"/>
        <v>0</v>
      </c>
      <c r="J33" s="19">
        <f t="shared" si="3"/>
        <v>0</v>
      </c>
      <c r="K33" s="39">
        <f>'Setoran 2'!E33</f>
        <v>0</v>
      </c>
      <c r="L33" s="19">
        <f t="shared" si="4"/>
        <v>0</v>
      </c>
      <c r="M33" s="19">
        <f t="shared" si="5"/>
        <v>0</v>
      </c>
      <c r="N33" s="39">
        <f>'Setoran 2'!F33</f>
        <v>0</v>
      </c>
      <c r="O33" s="19">
        <f t="shared" si="6"/>
        <v>0</v>
      </c>
      <c r="P33" s="19">
        <f t="shared" si="7"/>
        <v>0</v>
      </c>
      <c r="Q33" s="39">
        <f>'Setoran 2'!G33</f>
        <v>0</v>
      </c>
      <c r="R33" s="19">
        <f t="shared" si="8"/>
        <v>0</v>
      </c>
      <c r="S33" s="19">
        <f t="shared" si="9"/>
        <v>0</v>
      </c>
      <c r="T33" s="39">
        <f>'Setoran 2'!H33</f>
        <v>0</v>
      </c>
      <c r="U33" s="19">
        <f t="shared" si="10"/>
        <v>0</v>
      </c>
      <c r="V33" s="19">
        <f t="shared" si="11"/>
        <v>0</v>
      </c>
      <c r="W33" s="39">
        <f>'Setoran 2'!I33</f>
        <v>0</v>
      </c>
      <c r="X33" s="19">
        <f t="shared" si="12"/>
        <v>0</v>
      </c>
      <c r="Y33" s="19">
        <f t="shared" si="13"/>
        <v>0</v>
      </c>
      <c r="Z33" s="39">
        <f>'Setoran 2'!J33</f>
        <v>0</v>
      </c>
      <c r="AA33" s="19">
        <f t="shared" si="14"/>
        <v>0</v>
      </c>
      <c r="AB33" s="19">
        <f t="shared" si="15"/>
        <v>0</v>
      </c>
      <c r="AC33" s="39">
        <f>'Setoran 2'!K33</f>
        <v>0</v>
      </c>
      <c r="AD33" s="19">
        <f t="shared" si="16"/>
        <v>0</v>
      </c>
      <c r="AE33" s="19">
        <f t="shared" si="17"/>
        <v>0</v>
      </c>
      <c r="AF33" s="38">
        <f>'Setoran 2'!L33</f>
        <v>0</v>
      </c>
      <c r="AG33" s="19">
        <f t="shared" si="18"/>
        <v>0</v>
      </c>
      <c r="AH33" s="19">
        <f t="shared" si="19"/>
        <v>0</v>
      </c>
      <c r="AI33" s="38">
        <f>'Setoran 2'!M33</f>
        <v>0</v>
      </c>
      <c r="AJ33" s="19">
        <f t="shared" si="20"/>
        <v>0</v>
      </c>
      <c r="AK33" s="19">
        <f t="shared" si="21"/>
        <v>0</v>
      </c>
      <c r="AL33" s="38">
        <f>'Setoran 2'!N33</f>
        <v>0</v>
      </c>
      <c r="AM33" s="19">
        <f t="shared" si="22"/>
        <v>0</v>
      </c>
      <c r="AN33" s="19">
        <f t="shared" si="23"/>
        <v>0</v>
      </c>
      <c r="AO33" s="38">
        <f>'Setoran 2'!O33</f>
        <v>0</v>
      </c>
      <c r="AP33" s="19">
        <f t="shared" si="24"/>
        <v>0</v>
      </c>
      <c r="AQ33" s="19">
        <f t="shared" si="25"/>
        <v>0</v>
      </c>
      <c r="AR33" s="38">
        <f>'Setoran 2'!P33</f>
        <v>0</v>
      </c>
      <c r="AS33" s="19">
        <f t="shared" si="26"/>
        <v>0</v>
      </c>
      <c r="AT33" s="19">
        <f t="shared" si="27"/>
        <v>0</v>
      </c>
      <c r="AU33" s="38">
        <f>'Setoran 2'!Q33</f>
        <v>0</v>
      </c>
      <c r="AV33" s="19">
        <f t="shared" si="28"/>
        <v>0</v>
      </c>
      <c r="AW33" s="19">
        <f t="shared" si="29"/>
        <v>0</v>
      </c>
      <c r="AX33" s="39">
        <f t="shared" si="30"/>
        <v>0</v>
      </c>
      <c r="AY33" s="38">
        <f t="shared" si="31"/>
        <v>0</v>
      </c>
      <c r="AZ33" s="21">
        <f t="shared" si="32"/>
        <v>0</v>
      </c>
      <c r="BA33" s="22">
        <f t="shared" si="33"/>
        <v>0</v>
      </c>
    </row>
    <row r="34" spans="1:53" ht="14.5" customHeight="1" x14ac:dyDescent="0.2">
      <c r="A34" s="54">
        <v>3</v>
      </c>
      <c r="B34" s="53" t="s">
        <v>25</v>
      </c>
      <c r="C34" s="57">
        <f>'Data '!C31</f>
        <v>50</v>
      </c>
      <c r="D34" s="57">
        <f>'Data '!D31</f>
        <v>100</v>
      </c>
      <c r="E34" s="39">
        <f>'Setoran 2'!C34</f>
        <v>0</v>
      </c>
      <c r="F34" s="19">
        <f t="shared" si="0"/>
        <v>0</v>
      </c>
      <c r="G34" s="19">
        <f t="shared" si="1"/>
        <v>0</v>
      </c>
      <c r="H34" s="39">
        <f>'Setoran 2'!D34</f>
        <v>0</v>
      </c>
      <c r="I34" s="19">
        <f t="shared" si="2"/>
        <v>0</v>
      </c>
      <c r="J34" s="19">
        <f t="shared" si="3"/>
        <v>0</v>
      </c>
      <c r="K34" s="39">
        <f>'Setoran 2'!E34</f>
        <v>0</v>
      </c>
      <c r="L34" s="19">
        <f t="shared" si="4"/>
        <v>0</v>
      </c>
      <c r="M34" s="19">
        <f t="shared" si="5"/>
        <v>0</v>
      </c>
      <c r="N34" s="39">
        <f>'Setoran 2'!F34</f>
        <v>0</v>
      </c>
      <c r="O34" s="19">
        <f t="shared" si="6"/>
        <v>0</v>
      </c>
      <c r="P34" s="19">
        <f t="shared" si="7"/>
        <v>0</v>
      </c>
      <c r="Q34" s="39">
        <f>'Setoran 2'!G34</f>
        <v>0</v>
      </c>
      <c r="R34" s="19">
        <f t="shared" si="8"/>
        <v>0</v>
      </c>
      <c r="S34" s="19">
        <f t="shared" si="9"/>
        <v>0</v>
      </c>
      <c r="T34" s="39">
        <f>'Setoran 2'!H34</f>
        <v>0</v>
      </c>
      <c r="U34" s="19">
        <f t="shared" si="10"/>
        <v>0</v>
      </c>
      <c r="V34" s="19">
        <f t="shared" si="11"/>
        <v>0</v>
      </c>
      <c r="W34" s="39">
        <f>'Setoran 2'!I34</f>
        <v>0</v>
      </c>
      <c r="X34" s="19">
        <f t="shared" si="12"/>
        <v>0</v>
      </c>
      <c r="Y34" s="19">
        <f t="shared" si="13"/>
        <v>0</v>
      </c>
      <c r="Z34" s="39">
        <f>'Setoran 2'!J34</f>
        <v>0</v>
      </c>
      <c r="AA34" s="19">
        <f t="shared" si="14"/>
        <v>0</v>
      </c>
      <c r="AB34" s="19">
        <f t="shared" si="15"/>
        <v>0</v>
      </c>
      <c r="AC34" s="39">
        <f>'Setoran 2'!K34</f>
        <v>0</v>
      </c>
      <c r="AD34" s="19">
        <f t="shared" si="16"/>
        <v>0</v>
      </c>
      <c r="AE34" s="19">
        <f t="shared" si="17"/>
        <v>0</v>
      </c>
      <c r="AF34" s="38">
        <f>'Setoran 2'!L34</f>
        <v>0</v>
      </c>
      <c r="AG34" s="19">
        <f t="shared" si="18"/>
        <v>0</v>
      </c>
      <c r="AH34" s="19">
        <f t="shared" si="19"/>
        <v>0</v>
      </c>
      <c r="AI34" s="38">
        <f>'Setoran 2'!M34</f>
        <v>0</v>
      </c>
      <c r="AJ34" s="19">
        <f t="shared" si="20"/>
        <v>0</v>
      </c>
      <c r="AK34" s="19">
        <f t="shared" si="21"/>
        <v>0</v>
      </c>
      <c r="AL34" s="38">
        <f>'Setoran 2'!N34</f>
        <v>0</v>
      </c>
      <c r="AM34" s="19">
        <f t="shared" si="22"/>
        <v>0</v>
      </c>
      <c r="AN34" s="19">
        <f t="shared" si="23"/>
        <v>0</v>
      </c>
      <c r="AO34" s="38">
        <f>'Setoran 2'!O34</f>
        <v>0</v>
      </c>
      <c r="AP34" s="19">
        <f t="shared" si="24"/>
        <v>0</v>
      </c>
      <c r="AQ34" s="19">
        <f t="shared" si="25"/>
        <v>0</v>
      </c>
      <c r="AR34" s="38">
        <f>'Setoran 2'!P34</f>
        <v>0</v>
      </c>
      <c r="AS34" s="19">
        <f t="shared" si="26"/>
        <v>0</v>
      </c>
      <c r="AT34" s="19">
        <f t="shared" si="27"/>
        <v>0</v>
      </c>
      <c r="AU34" s="38">
        <f>'Setoran 2'!Q34</f>
        <v>0</v>
      </c>
      <c r="AV34" s="19">
        <f t="shared" si="28"/>
        <v>0</v>
      </c>
      <c r="AW34" s="19">
        <f t="shared" si="29"/>
        <v>0</v>
      </c>
      <c r="AX34" s="39">
        <f t="shared" si="30"/>
        <v>0</v>
      </c>
      <c r="AY34" s="38">
        <f t="shared" si="31"/>
        <v>0</v>
      </c>
      <c r="AZ34" s="21">
        <f t="shared" si="32"/>
        <v>0</v>
      </c>
      <c r="BA34" s="22">
        <f t="shared" si="33"/>
        <v>0</v>
      </c>
    </row>
    <row r="35" spans="1:53" ht="14.5" customHeight="1" x14ac:dyDescent="0.2">
      <c r="A35" s="54">
        <v>4</v>
      </c>
      <c r="B35" s="53" t="s">
        <v>87</v>
      </c>
      <c r="C35" s="57">
        <f>'Data '!C32</f>
        <v>40</v>
      </c>
      <c r="D35" s="57">
        <f>'Data '!D32</f>
        <v>50</v>
      </c>
      <c r="E35" s="39">
        <f>'Setoran 2'!C35</f>
        <v>0</v>
      </c>
      <c r="F35" s="19">
        <f t="shared" si="0"/>
        <v>0</v>
      </c>
      <c r="G35" s="19">
        <f t="shared" si="1"/>
        <v>0</v>
      </c>
      <c r="H35" s="39">
        <f>'Setoran 2'!D35</f>
        <v>0</v>
      </c>
      <c r="I35" s="19">
        <f t="shared" si="2"/>
        <v>0</v>
      </c>
      <c r="J35" s="19">
        <f t="shared" si="3"/>
        <v>0</v>
      </c>
      <c r="K35" s="39">
        <f>'Setoran 2'!E35</f>
        <v>0</v>
      </c>
      <c r="L35" s="19">
        <f t="shared" si="4"/>
        <v>0</v>
      </c>
      <c r="M35" s="19">
        <f t="shared" si="5"/>
        <v>0</v>
      </c>
      <c r="N35" s="39">
        <f>'Setoran 2'!F35</f>
        <v>0</v>
      </c>
      <c r="O35" s="19">
        <f t="shared" si="6"/>
        <v>0</v>
      </c>
      <c r="P35" s="19">
        <f t="shared" si="7"/>
        <v>0</v>
      </c>
      <c r="Q35" s="39">
        <f>'Setoran 2'!G35</f>
        <v>0</v>
      </c>
      <c r="R35" s="19">
        <f t="shared" si="8"/>
        <v>0</v>
      </c>
      <c r="S35" s="19">
        <f t="shared" si="9"/>
        <v>0</v>
      </c>
      <c r="T35" s="39">
        <f>'Setoran 2'!H35</f>
        <v>0</v>
      </c>
      <c r="U35" s="19">
        <f t="shared" si="10"/>
        <v>0</v>
      </c>
      <c r="V35" s="19">
        <f t="shared" si="11"/>
        <v>0</v>
      </c>
      <c r="W35" s="39">
        <f>'Setoran 2'!I35</f>
        <v>0</v>
      </c>
      <c r="X35" s="19">
        <f t="shared" si="12"/>
        <v>0</v>
      </c>
      <c r="Y35" s="19">
        <f t="shared" si="13"/>
        <v>0</v>
      </c>
      <c r="Z35" s="39">
        <f>'Setoran 2'!J35</f>
        <v>0</v>
      </c>
      <c r="AA35" s="19">
        <f t="shared" si="14"/>
        <v>0</v>
      </c>
      <c r="AB35" s="19">
        <f t="shared" si="15"/>
        <v>0</v>
      </c>
      <c r="AC35" s="39">
        <f>'Setoran 2'!K35</f>
        <v>0</v>
      </c>
      <c r="AD35" s="19">
        <f t="shared" si="16"/>
        <v>0</v>
      </c>
      <c r="AE35" s="19">
        <f t="shared" si="17"/>
        <v>0</v>
      </c>
      <c r="AF35" s="38">
        <f>'Setoran 2'!L35</f>
        <v>0</v>
      </c>
      <c r="AG35" s="19">
        <f t="shared" si="18"/>
        <v>0</v>
      </c>
      <c r="AH35" s="19">
        <f t="shared" si="19"/>
        <v>0</v>
      </c>
      <c r="AI35" s="38">
        <f>'Setoran 2'!M35</f>
        <v>0</v>
      </c>
      <c r="AJ35" s="19">
        <f t="shared" si="20"/>
        <v>0</v>
      </c>
      <c r="AK35" s="19">
        <f t="shared" si="21"/>
        <v>0</v>
      </c>
      <c r="AL35" s="38">
        <f>'Setoran 2'!N35</f>
        <v>0</v>
      </c>
      <c r="AM35" s="19">
        <f t="shared" si="22"/>
        <v>0</v>
      </c>
      <c r="AN35" s="19">
        <f t="shared" si="23"/>
        <v>0</v>
      </c>
      <c r="AO35" s="38">
        <f>'Setoran 2'!O35</f>
        <v>0</v>
      </c>
      <c r="AP35" s="19">
        <f t="shared" si="24"/>
        <v>0</v>
      </c>
      <c r="AQ35" s="19">
        <f t="shared" si="25"/>
        <v>0</v>
      </c>
      <c r="AR35" s="38">
        <f>'Setoran 2'!P35</f>
        <v>0</v>
      </c>
      <c r="AS35" s="19">
        <f t="shared" si="26"/>
        <v>0</v>
      </c>
      <c r="AT35" s="19">
        <f t="shared" si="27"/>
        <v>0</v>
      </c>
      <c r="AU35" s="38">
        <f>'Setoran 2'!Q35</f>
        <v>0</v>
      </c>
      <c r="AV35" s="19">
        <f t="shared" si="28"/>
        <v>0</v>
      </c>
      <c r="AW35" s="19">
        <f t="shared" si="29"/>
        <v>0</v>
      </c>
      <c r="AX35" s="39">
        <f t="shared" si="30"/>
        <v>0</v>
      </c>
      <c r="AY35" s="38">
        <f t="shared" si="31"/>
        <v>0</v>
      </c>
      <c r="AZ35" s="21">
        <f t="shared" si="32"/>
        <v>0</v>
      </c>
      <c r="BA35" s="22">
        <f t="shared" si="33"/>
        <v>0</v>
      </c>
    </row>
    <row r="36" spans="1:53" ht="14.5" customHeight="1" x14ac:dyDescent="0.2">
      <c r="A36" s="54">
        <v>5</v>
      </c>
      <c r="B36" s="53" t="s">
        <v>88</v>
      </c>
      <c r="C36" s="57">
        <f>'Data '!C33</f>
        <v>40</v>
      </c>
      <c r="D36" s="57">
        <f>'Data '!D33</f>
        <v>50</v>
      </c>
      <c r="E36" s="39">
        <f>'Setoran 2'!C36</f>
        <v>0</v>
      </c>
      <c r="F36" s="19">
        <f t="shared" si="0"/>
        <v>0</v>
      </c>
      <c r="G36" s="19">
        <f t="shared" si="1"/>
        <v>0</v>
      </c>
      <c r="H36" s="39">
        <f>'Setoran 2'!D36</f>
        <v>0</v>
      </c>
      <c r="I36" s="19">
        <f t="shared" si="2"/>
        <v>0</v>
      </c>
      <c r="J36" s="19">
        <f t="shared" si="3"/>
        <v>0</v>
      </c>
      <c r="K36" s="39">
        <f>'Setoran 2'!E36</f>
        <v>0</v>
      </c>
      <c r="L36" s="19">
        <f t="shared" si="4"/>
        <v>0</v>
      </c>
      <c r="M36" s="19">
        <f t="shared" si="5"/>
        <v>0</v>
      </c>
      <c r="N36" s="39">
        <f>'Setoran 2'!F36</f>
        <v>0</v>
      </c>
      <c r="O36" s="19">
        <f t="shared" si="6"/>
        <v>0</v>
      </c>
      <c r="P36" s="19">
        <f t="shared" si="7"/>
        <v>0</v>
      </c>
      <c r="Q36" s="39">
        <f>'Setoran 2'!G36</f>
        <v>0</v>
      </c>
      <c r="R36" s="19">
        <f t="shared" si="8"/>
        <v>0</v>
      </c>
      <c r="S36" s="19">
        <f t="shared" si="9"/>
        <v>0</v>
      </c>
      <c r="T36" s="39">
        <f>'Setoran 2'!H36</f>
        <v>0</v>
      </c>
      <c r="U36" s="19">
        <f t="shared" si="10"/>
        <v>0</v>
      </c>
      <c r="V36" s="19">
        <f t="shared" si="11"/>
        <v>0</v>
      </c>
      <c r="W36" s="39">
        <f>'Setoran 2'!I36</f>
        <v>0</v>
      </c>
      <c r="X36" s="19">
        <f t="shared" si="12"/>
        <v>0</v>
      </c>
      <c r="Y36" s="19">
        <f t="shared" si="13"/>
        <v>0</v>
      </c>
      <c r="Z36" s="39">
        <f>'Setoran 2'!J36</f>
        <v>0</v>
      </c>
      <c r="AA36" s="19">
        <f t="shared" si="14"/>
        <v>0</v>
      </c>
      <c r="AB36" s="19">
        <f t="shared" si="15"/>
        <v>0</v>
      </c>
      <c r="AC36" s="39">
        <f>'Setoran 2'!K36</f>
        <v>0</v>
      </c>
      <c r="AD36" s="19">
        <f t="shared" si="16"/>
        <v>0</v>
      </c>
      <c r="AE36" s="19">
        <f t="shared" si="17"/>
        <v>0</v>
      </c>
      <c r="AF36" s="38">
        <f>'Setoran 2'!L36</f>
        <v>0</v>
      </c>
      <c r="AG36" s="19">
        <f t="shared" si="18"/>
        <v>0</v>
      </c>
      <c r="AH36" s="19">
        <f t="shared" si="19"/>
        <v>0</v>
      </c>
      <c r="AI36" s="38">
        <f>'Setoran 2'!M36</f>
        <v>0</v>
      </c>
      <c r="AJ36" s="19">
        <f t="shared" si="20"/>
        <v>0</v>
      </c>
      <c r="AK36" s="19">
        <f t="shared" si="21"/>
        <v>0</v>
      </c>
      <c r="AL36" s="38">
        <f>'Setoran 2'!N36</f>
        <v>0</v>
      </c>
      <c r="AM36" s="19">
        <f t="shared" si="22"/>
        <v>0</v>
      </c>
      <c r="AN36" s="19">
        <f t="shared" si="23"/>
        <v>0</v>
      </c>
      <c r="AO36" s="38">
        <f>'Setoran 2'!O36</f>
        <v>0</v>
      </c>
      <c r="AP36" s="19">
        <f t="shared" si="24"/>
        <v>0</v>
      </c>
      <c r="AQ36" s="19">
        <f t="shared" si="25"/>
        <v>0</v>
      </c>
      <c r="AR36" s="38">
        <f>'Setoran 2'!P36</f>
        <v>0</v>
      </c>
      <c r="AS36" s="19">
        <f t="shared" si="26"/>
        <v>0</v>
      </c>
      <c r="AT36" s="19">
        <f t="shared" si="27"/>
        <v>0</v>
      </c>
      <c r="AU36" s="38">
        <f>'Setoran 2'!Q36</f>
        <v>0</v>
      </c>
      <c r="AV36" s="19">
        <f t="shared" si="28"/>
        <v>0</v>
      </c>
      <c r="AW36" s="19">
        <f t="shared" si="29"/>
        <v>0</v>
      </c>
      <c r="AX36" s="39">
        <f t="shared" si="30"/>
        <v>0</v>
      </c>
      <c r="AY36" s="38">
        <f t="shared" si="31"/>
        <v>0</v>
      </c>
      <c r="AZ36" s="21">
        <f t="shared" si="32"/>
        <v>0</v>
      </c>
      <c r="BA36" s="22">
        <f t="shared" si="33"/>
        <v>0</v>
      </c>
    </row>
    <row r="37" spans="1:53" ht="14.5" customHeight="1" x14ac:dyDescent="0.2">
      <c r="A37" s="64">
        <v>6</v>
      </c>
      <c r="B37" s="65" t="s">
        <v>89</v>
      </c>
      <c r="C37" s="57">
        <f>'Data '!C34</f>
        <v>250</v>
      </c>
      <c r="D37" s="57">
        <f>'Data '!D34</f>
        <v>300</v>
      </c>
      <c r="E37" s="39">
        <f>'Setoran 2'!C37</f>
        <v>0</v>
      </c>
      <c r="F37" s="19">
        <f t="shared" si="0"/>
        <v>0</v>
      </c>
      <c r="G37" s="19">
        <f t="shared" si="1"/>
        <v>0</v>
      </c>
      <c r="H37" s="39">
        <f>'Setoran 2'!D37</f>
        <v>0</v>
      </c>
      <c r="I37" s="19">
        <f t="shared" si="2"/>
        <v>0</v>
      </c>
      <c r="J37" s="19">
        <f t="shared" si="3"/>
        <v>0</v>
      </c>
      <c r="K37" s="39">
        <f>'Setoran 2'!E37</f>
        <v>0</v>
      </c>
      <c r="L37" s="19">
        <f t="shared" si="4"/>
        <v>0</v>
      </c>
      <c r="M37" s="19">
        <f t="shared" si="5"/>
        <v>0</v>
      </c>
      <c r="N37" s="39">
        <f>'Setoran 2'!F37</f>
        <v>0</v>
      </c>
      <c r="O37" s="19">
        <f t="shared" si="6"/>
        <v>0</v>
      </c>
      <c r="P37" s="19">
        <f t="shared" si="7"/>
        <v>0</v>
      </c>
      <c r="Q37" s="39">
        <f>'Setoran 2'!G37</f>
        <v>0</v>
      </c>
      <c r="R37" s="19">
        <f t="shared" si="8"/>
        <v>0</v>
      </c>
      <c r="S37" s="19">
        <f t="shared" si="9"/>
        <v>0</v>
      </c>
      <c r="T37" s="39">
        <f>'Setoran 2'!H37</f>
        <v>0</v>
      </c>
      <c r="U37" s="19">
        <f t="shared" si="10"/>
        <v>0</v>
      </c>
      <c r="V37" s="19">
        <f t="shared" si="11"/>
        <v>0</v>
      </c>
      <c r="W37" s="39">
        <f>'Setoran 2'!I37</f>
        <v>0</v>
      </c>
      <c r="X37" s="19">
        <f t="shared" si="12"/>
        <v>0</v>
      </c>
      <c r="Y37" s="19">
        <f t="shared" si="13"/>
        <v>0</v>
      </c>
      <c r="Z37" s="39">
        <f>'Setoran 2'!J37</f>
        <v>0</v>
      </c>
      <c r="AA37" s="19">
        <f t="shared" si="14"/>
        <v>0</v>
      </c>
      <c r="AB37" s="19">
        <f t="shared" si="15"/>
        <v>0</v>
      </c>
      <c r="AC37" s="39">
        <f>'Setoran 2'!K37</f>
        <v>0</v>
      </c>
      <c r="AD37" s="19">
        <f t="shared" si="16"/>
        <v>0</v>
      </c>
      <c r="AE37" s="19">
        <f t="shared" si="17"/>
        <v>0</v>
      </c>
      <c r="AF37" s="38">
        <f>'Setoran 2'!L37</f>
        <v>0</v>
      </c>
      <c r="AG37" s="19">
        <f t="shared" si="18"/>
        <v>0</v>
      </c>
      <c r="AH37" s="19">
        <f t="shared" si="19"/>
        <v>0</v>
      </c>
      <c r="AI37" s="38">
        <f>'Setoran 2'!M37</f>
        <v>0</v>
      </c>
      <c r="AJ37" s="19">
        <f t="shared" si="20"/>
        <v>0</v>
      </c>
      <c r="AK37" s="19">
        <f t="shared" si="21"/>
        <v>0</v>
      </c>
      <c r="AL37" s="38">
        <f>'Setoran 2'!N37</f>
        <v>0</v>
      </c>
      <c r="AM37" s="19">
        <f t="shared" si="22"/>
        <v>0</v>
      </c>
      <c r="AN37" s="19">
        <f t="shared" si="23"/>
        <v>0</v>
      </c>
      <c r="AO37" s="38">
        <f>'Setoran 2'!O37</f>
        <v>0</v>
      </c>
      <c r="AP37" s="19">
        <f t="shared" si="24"/>
        <v>0</v>
      </c>
      <c r="AQ37" s="19">
        <f t="shared" si="25"/>
        <v>0</v>
      </c>
      <c r="AR37" s="38">
        <f>'Setoran 2'!P37</f>
        <v>0</v>
      </c>
      <c r="AS37" s="19">
        <f t="shared" si="26"/>
        <v>0</v>
      </c>
      <c r="AT37" s="19">
        <f t="shared" si="27"/>
        <v>0</v>
      </c>
      <c r="AU37" s="38">
        <f>'Setoran 2'!Q37</f>
        <v>0</v>
      </c>
      <c r="AV37" s="19">
        <f t="shared" si="28"/>
        <v>0</v>
      </c>
      <c r="AW37" s="19">
        <f t="shared" si="29"/>
        <v>0</v>
      </c>
      <c r="AX37" s="39">
        <f t="shared" si="30"/>
        <v>0</v>
      </c>
      <c r="AY37" s="38">
        <f t="shared" si="31"/>
        <v>0</v>
      </c>
      <c r="AZ37" s="21">
        <f t="shared" si="32"/>
        <v>0</v>
      </c>
      <c r="BA37" s="22">
        <f t="shared" si="33"/>
        <v>0</v>
      </c>
    </row>
    <row r="38" spans="1:53" ht="14.5" customHeight="1" x14ac:dyDescent="0.2">
      <c r="A38" s="51" t="s">
        <v>26</v>
      </c>
      <c r="B38" s="5"/>
      <c r="C38" s="40"/>
      <c r="D38" s="42"/>
      <c r="E38" s="39"/>
      <c r="F38" s="19"/>
      <c r="G38" s="19"/>
      <c r="H38" s="39"/>
      <c r="I38" s="19"/>
      <c r="J38" s="19"/>
      <c r="K38" s="39"/>
      <c r="L38" s="19"/>
      <c r="M38" s="19"/>
      <c r="N38" s="39"/>
      <c r="O38" s="19"/>
      <c r="P38" s="19"/>
      <c r="Q38" s="39"/>
      <c r="R38" s="19"/>
      <c r="S38" s="19"/>
      <c r="T38" s="39"/>
      <c r="U38" s="19"/>
      <c r="V38" s="19"/>
      <c r="W38" s="39"/>
      <c r="X38" s="19"/>
      <c r="Y38" s="19"/>
      <c r="Z38" s="39"/>
      <c r="AA38" s="19"/>
      <c r="AB38" s="19"/>
      <c r="AC38" s="39"/>
      <c r="AD38" s="19"/>
      <c r="AE38" s="19"/>
      <c r="AF38" s="38"/>
      <c r="AG38" s="19"/>
      <c r="AH38" s="19"/>
      <c r="AI38" s="38"/>
      <c r="AJ38" s="19"/>
      <c r="AK38" s="19"/>
      <c r="AL38" s="38"/>
      <c r="AM38" s="19"/>
      <c r="AN38" s="19"/>
      <c r="AO38" s="38"/>
      <c r="AP38" s="19"/>
      <c r="AQ38" s="19"/>
      <c r="AR38" s="38"/>
      <c r="AS38" s="19"/>
      <c r="AT38" s="19"/>
      <c r="AU38" s="38"/>
      <c r="AV38" s="19"/>
      <c r="AW38" s="19"/>
      <c r="AX38" s="39"/>
      <c r="AY38" s="38"/>
      <c r="AZ38" s="21"/>
      <c r="BA38" s="22"/>
    </row>
    <row r="39" spans="1:53" ht="14.5" customHeight="1" x14ac:dyDescent="0.2">
      <c r="A39" s="26">
        <v>1</v>
      </c>
      <c r="B39" s="55" t="s">
        <v>92</v>
      </c>
      <c r="C39" s="57">
        <f>'Data '!C35</f>
        <v>75</v>
      </c>
      <c r="D39" s="57">
        <f>'Data '!D35</f>
        <v>100</v>
      </c>
      <c r="E39" s="39">
        <f>'Setoran 2'!C39</f>
        <v>0</v>
      </c>
      <c r="F39" s="19">
        <f t="shared" si="0"/>
        <v>0</v>
      </c>
      <c r="G39" s="19">
        <f t="shared" si="1"/>
        <v>0</v>
      </c>
      <c r="H39" s="39">
        <f>'Setoran 2'!D39</f>
        <v>0</v>
      </c>
      <c r="I39" s="19">
        <f t="shared" si="2"/>
        <v>0</v>
      </c>
      <c r="J39" s="19">
        <f t="shared" si="3"/>
        <v>0</v>
      </c>
      <c r="K39" s="39">
        <f>'Setoran 2'!E39</f>
        <v>0</v>
      </c>
      <c r="L39" s="19">
        <f t="shared" si="4"/>
        <v>0</v>
      </c>
      <c r="M39" s="19">
        <f t="shared" si="5"/>
        <v>0</v>
      </c>
      <c r="N39" s="39">
        <f>'Setoran 2'!F39</f>
        <v>0</v>
      </c>
      <c r="O39" s="19">
        <f t="shared" si="6"/>
        <v>0</v>
      </c>
      <c r="P39" s="19">
        <f t="shared" si="7"/>
        <v>0</v>
      </c>
      <c r="Q39" s="39">
        <f>'Setoran 2'!G39</f>
        <v>0</v>
      </c>
      <c r="R39" s="19">
        <f t="shared" si="8"/>
        <v>0</v>
      </c>
      <c r="S39" s="19">
        <f t="shared" si="9"/>
        <v>0</v>
      </c>
      <c r="T39" s="39">
        <f>'Setoran 2'!H39</f>
        <v>0</v>
      </c>
      <c r="U39" s="19">
        <f t="shared" si="10"/>
        <v>0</v>
      </c>
      <c r="V39" s="19">
        <f t="shared" si="11"/>
        <v>0</v>
      </c>
      <c r="W39" s="39">
        <f>'Setoran 2'!I39</f>
        <v>0</v>
      </c>
      <c r="X39" s="19">
        <f t="shared" si="12"/>
        <v>0</v>
      </c>
      <c r="Y39" s="19">
        <f t="shared" si="13"/>
        <v>0</v>
      </c>
      <c r="Z39" s="39">
        <f>'Setoran 2'!J39</f>
        <v>0</v>
      </c>
      <c r="AA39" s="19">
        <f t="shared" si="14"/>
        <v>0</v>
      </c>
      <c r="AB39" s="19">
        <f t="shared" si="15"/>
        <v>0</v>
      </c>
      <c r="AC39" s="39">
        <f>'Setoran 2'!K39</f>
        <v>0</v>
      </c>
      <c r="AD39" s="19">
        <f t="shared" si="16"/>
        <v>0</v>
      </c>
      <c r="AE39" s="19">
        <f t="shared" si="17"/>
        <v>0</v>
      </c>
      <c r="AF39" s="38">
        <f>'Setoran 2'!L39</f>
        <v>0</v>
      </c>
      <c r="AG39" s="19">
        <f t="shared" si="18"/>
        <v>0</v>
      </c>
      <c r="AH39" s="19">
        <f t="shared" si="19"/>
        <v>0</v>
      </c>
      <c r="AI39" s="38">
        <f>'Setoran 2'!M39</f>
        <v>0</v>
      </c>
      <c r="AJ39" s="19">
        <f t="shared" si="20"/>
        <v>0</v>
      </c>
      <c r="AK39" s="19">
        <f t="shared" si="21"/>
        <v>0</v>
      </c>
      <c r="AL39" s="38">
        <f>'Setoran 2'!N39</f>
        <v>0</v>
      </c>
      <c r="AM39" s="19">
        <f t="shared" si="22"/>
        <v>0</v>
      </c>
      <c r="AN39" s="19">
        <f t="shared" si="23"/>
        <v>0</v>
      </c>
      <c r="AO39" s="38">
        <f>'Setoran 2'!O39</f>
        <v>0</v>
      </c>
      <c r="AP39" s="19">
        <f t="shared" si="24"/>
        <v>0</v>
      </c>
      <c r="AQ39" s="19">
        <f t="shared" si="25"/>
        <v>0</v>
      </c>
      <c r="AR39" s="38">
        <f>'Setoran 2'!P39</f>
        <v>0</v>
      </c>
      <c r="AS39" s="19">
        <f t="shared" si="26"/>
        <v>0</v>
      </c>
      <c r="AT39" s="19">
        <f t="shared" si="27"/>
        <v>0</v>
      </c>
      <c r="AU39" s="38">
        <f>'Setoran 2'!Q39</f>
        <v>0</v>
      </c>
      <c r="AV39" s="19">
        <f t="shared" si="28"/>
        <v>0</v>
      </c>
      <c r="AW39" s="19">
        <f t="shared" si="29"/>
        <v>0</v>
      </c>
      <c r="AX39" s="39">
        <f t="shared" si="30"/>
        <v>0</v>
      </c>
      <c r="AY39" s="38">
        <f t="shared" si="31"/>
        <v>0</v>
      </c>
      <c r="AZ39" s="21">
        <f t="shared" si="32"/>
        <v>0</v>
      </c>
      <c r="BA39" s="22">
        <f t="shared" si="33"/>
        <v>0</v>
      </c>
    </row>
    <row r="40" spans="1:53" ht="14.5" customHeight="1" x14ac:dyDescent="0.2">
      <c r="A40" s="26">
        <v>2</v>
      </c>
      <c r="B40" s="53" t="s">
        <v>20</v>
      </c>
      <c r="C40" s="57">
        <f>'Data '!C36</f>
        <v>50</v>
      </c>
      <c r="D40" s="57">
        <f>'Data '!D36</f>
        <v>100</v>
      </c>
      <c r="E40" s="39">
        <f>'Setoran 2'!C40</f>
        <v>0</v>
      </c>
      <c r="F40" s="19">
        <f t="shared" si="0"/>
        <v>0</v>
      </c>
      <c r="G40" s="19">
        <f t="shared" si="1"/>
        <v>0</v>
      </c>
      <c r="H40" s="39">
        <f>'Setoran 2'!D40</f>
        <v>0</v>
      </c>
      <c r="I40" s="19">
        <f t="shared" si="2"/>
        <v>0</v>
      </c>
      <c r="J40" s="19">
        <f t="shared" si="3"/>
        <v>0</v>
      </c>
      <c r="K40" s="39">
        <f>'Setoran 2'!E40</f>
        <v>0</v>
      </c>
      <c r="L40" s="19">
        <f t="shared" si="4"/>
        <v>0</v>
      </c>
      <c r="M40" s="19">
        <f t="shared" si="5"/>
        <v>0</v>
      </c>
      <c r="N40" s="39">
        <f>'Setoran 2'!F40</f>
        <v>0</v>
      </c>
      <c r="O40" s="19">
        <f t="shared" si="6"/>
        <v>0</v>
      </c>
      <c r="P40" s="19">
        <f t="shared" si="7"/>
        <v>0</v>
      </c>
      <c r="Q40" s="39">
        <f>'Setoran 2'!G40</f>
        <v>0</v>
      </c>
      <c r="R40" s="19">
        <f t="shared" si="8"/>
        <v>0</v>
      </c>
      <c r="S40" s="19">
        <f t="shared" si="9"/>
        <v>0</v>
      </c>
      <c r="T40" s="39">
        <f>'Setoran 2'!H40</f>
        <v>0</v>
      </c>
      <c r="U40" s="19">
        <f t="shared" si="10"/>
        <v>0</v>
      </c>
      <c r="V40" s="19">
        <f t="shared" si="11"/>
        <v>0</v>
      </c>
      <c r="W40" s="39">
        <f>'Setoran 2'!I40</f>
        <v>0</v>
      </c>
      <c r="X40" s="19">
        <f t="shared" si="12"/>
        <v>0</v>
      </c>
      <c r="Y40" s="19">
        <f t="shared" si="13"/>
        <v>0</v>
      </c>
      <c r="Z40" s="39">
        <f>'Setoran 2'!J40</f>
        <v>0</v>
      </c>
      <c r="AA40" s="19">
        <f t="shared" si="14"/>
        <v>0</v>
      </c>
      <c r="AB40" s="19">
        <f t="shared" si="15"/>
        <v>0</v>
      </c>
      <c r="AC40" s="39">
        <f>'Setoran 2'!K40</f>
        <v>0</v>
      </c>
      <c r="AD40" s="19">
        <f t="shared" si="16"/>
        <v>0</v>
      </c>
      <c r="AE40" s="19">
        <f t="shared" si="17"/>
        <v>0</v>
      </c>
      <c r="AF40" s="38">
        <f>'Setoran 2'!L40</f>
        <v>0</v>
      </c>
      <c r="AG40" s="19">
        <f t="shared" si="18"/>
        <v>0</v>
      </c>
      <c r="AH40" s="19">
        <f t="shared" si="19"/>
        <v>0</v>
      </c>
      <c r="AI40" s="38">
        <f>'Setoran 2'!M40</f>
        <v>0</v>
      </c>
      <c r="AJ40" s="19">
        <f t="shared" si="20"/>
        <v>0</v>
      </c>
      <c r="AK40" s="19">
        <f t="shared" si="21"/>
        <v>0</v>
      </c>
      <c r="AL40" s="38">
        <f>'Setoran 2'!N40</f>
        <v>0</v>
      </c>
      <c r="AM40" s="19">
        <f t="shared" si="22"/>
        <v>0</v>
      </c>
      <c r="AN40" s="19">
        <f t="shared" si="23"/>
        <v>0</v>
      </c>
      <c r="AO40" s="38">
        <f>'Setoran 2'!O40</f>
        <v>0</v>
      </c>
      <c r="AP40" s="19">
        <f t="shared" si="24"/>
        <v>0</v>
      </c>
      <c r="AQ40" s="19">
        <f t="shared" si="25"/>
        <v>0</v>
      </c>
      <c r="AR40" s="38">
        <f>'Setoran 2'!P40</f>
        <v>0</v>
      </c>
      <c r="AS40" s="19">
        <f t="shared" si="26"/>
        <v>0</v>
      </c>
      <c r="AT40" s="19">
        <f t="shared" si="27"/>
        <v>0</v>
      </c>
      <c r="AU40" s="38">
        <f>'Setoran 2'!Q40</f>
        <v>0</v>
      </c>
      <c r="AV40" s="19">
        <f t="shared" si="28"/>
        <v>0</v>
      </c>
      <c r="AW40" s="19">
        <f t="shared" si="29"/>
        <v>0</v>
      </c>
      <c r="AX40" s="39">
        <f t="shared" si="30"/>
        <v>0</v>
      </c>
      <c r="AY40" s="38">
        <f t="shared" si="31"/>
        <v>0</v>
      </c>
      <c r="AZ40" s="21">
        <f t="shared" si="32"/>
        <v>0</v>
      </c>
      <c r="BA40" s="22">
        <f t="shared" si="33"/>
        <v>0</v>
      </c>
    </row>
    <row r="41" spans="1:53" ht="14.5" customHeight="1" x14ac:dyDescent="0.2">
      <c r="A41" s="70" t="s">
        <v>27</v>
      </c>
      <c r="B41" s="50"/>
      <c r="C41" s="56"/>
      <c r="D41" s="43"/>
      <c r="E41" s="39"/>
      <c r="F41" s="19"/>
      <c r="G41" s="19"/>
      <c r="H41" s="39"/>
      <c r="I41" s="19"/>
      <c r="J41" s="19"/>
      <c r="K41" s="39"/>
      <c r="L41" s="19"/>
      <c r="M41" s="19"/>
      <c r="N41" s="39"/>
      <c r="O41" s="19"/>
      <c r="P41" s="19"/>
      <c r="Q41" s="39"/>
      <c r="R41" s="19"/>
      <c r="S41" s="19"/>
      <c r="T41" s="39"/>
      <c r="U41" s="19"/>
      <c r="V41" s="19"/>
      <c r="W41" s="39"/>
      <c r="X41" s="19"/>
      <c r="Y41" s="19"/>
      <c r="Z41" s="39"/>
      <c r="AA41" s="19"/>
      <c r="AB41" s="19"/>
      <c r="AC41" s="39"/>
      <c r="AD41" s="19"/>
      <c r="AE41" s="19"/>
      <c r="AF41" s="38"/>
      <c r="AG41" s="19"/>
      <c r="AH41" s="19"/>
      <c r="AI41" s="38"/>
      <c r="AJ41" s="19"/>
      <c r="AK41" s="19"/>
      <c r="AL41" s="38"/>
      <c r="AM41" s="19"/>
      <c r="AN41" s="19"/>
      <c r="AO41" s="38"/>
      <c r="AP41" s="19"/>
      <c r="AQ41" s="19"/>
      <c r="AR41" s="38"/>
      <c r="AS41" s="19"/>
      <c r="AT41" s="19"/>
      <c r="AU41" s="38"/>
      <c r="AV41" s="19"/>
      <c r="AW41" s="19"/>
      <c r="AX41" s="39"/>
      <c r="AY41" s="38"/>
      <c r="AZ41" s="21"/>
      <c r="BA41" s="22"/>
    </row>
    <row r="42" spans="1:53" ht="14.5" customHeight="1" x14ac:dyDescent="0.2">
      <c r="A42" s="26">
        <v>1</v>
      </c>
      <c r="B42" s="53" t="s">
        <v>28</v>
      </c>
      <c r="C42" s="57">
        <f>'Data '!C38</f>
        <v>1100</v>
      </c>
      <c r="D42" s="57">
        <f>'Data '!D38</f>
        <v>1200</v>
      </c>
      <c r="E42" s="39">
        <f>'Setoran 2'!C42</f>
        <v>0</v>
      </c>
      <c r="F42" s="19">
        <f t="shared" si="0"/>
        <v>0</v>
      </c>
      <c r="G42" s="19">
        <f t="shared" si="1"/>
        <v>0</v>
      </c>
      <c r="H42" s="39">
        <f>'Setoran 2'!D42</f>
        <v>0</v>
      </c>
      <c r="I42" s="19">
        <f t="shared" si="2"/>
        <v>0</v>
      </c>
      <c r="J42" s="19">
        <f t="shared" si="3"/>
        <v>0</v>
      </c>
      <c r="K42" s="39">
        <f>'Setoran 2'!E42</f>
        <v>0</v>
      </c>
      <c r="L42" s="19">
        <f t="shared" si="4"/>
        <v>0</v>
      </c>
      <c r="M42" s="19">
        <f t="shared" si="5"/>
        <v>0</v>
      </c>
      <c r="N42" s="39">
        <f>'Setoran 2'!F42</f>
        <v>0</v>
      </c>
      <c r="O42" s="19">
        <f t="shared" si="6"/>
        <v>0</v>
      </c>
      <c r="P42" s="19">
        <f t="shared" si="7"/>
        <v>0</v>
      </c>
      <c r="Q42" s="39">
        <f>'Setoran 2'!G42</f>
        <v>0</v>
      </c>
      <c r="R42" s="19">
        <f t="shared" si="8"/>
        <v>0</v>
      </c>
      <c r="S42" s="19">
        <f t="shared" si="9"/>
        <v>0</v>
      </c>
      <c r="T42" s="39">
        <f>'Setoran 2'!H42</f>
        <v>0</v>
      </c>
      <c r="U42" s="19">
        <f t="shared" si="10"/>
        <v>0</v>
      </c>
      <c r="V42" s="19">
        <f t="shared" si="11"/>
        <v>0</v>
      </c>
      <c r="W42" s="39">
        <f>'Setoran 2'!I42</f>
        <v>0</v>
      </c>
      <c r="X42" s="19">
        <f t="shared" si="12"/>
        <v>0</v>
      </c>
      <c r="Y42" s="19">
        <f t="shared" si="13"/>
        <v>0</v>
      </c>
      <c r="Z42" s="39">
        <f>'Setoran 2'!J42</f>
        <v>0</v>
      </c>
      <c r="AA42" s="19">
        <f t="shared" si="14"/>
        <v>0</v>
      </c>
      <c r="AB42" s="19">
        <f t="shared" si="15"/>
        <v>0</v>
      </c>
      <c r="AC42" s="39">
        <f>'Setoran 2'!K42</f>
        <v>0</v>
      </c>
      <c r="AD42" s="19">
        <f t="shared" si="16"/>
        <v>0</v>
      </c>
      <c r="AE42" s="19">
        <f t="shared" si="17"/>
        <v>0</v>
      </c>
      <c r="AF42" s="38">
        <f>'Setoran 2'!L42</f>
        <v>0</v>
      </c>
      <c r="AG42" s="19">
        <f t="shared" si="18"/>
        <v>0</v>
      </c>
      <c r="AH42" s="19">
        <f t="shared" si="19"/>
        <v>0</v>
      </c>
      <c r="AI42" s="38">
        <f>'Setoran 2'!M42</f>
        <v>0</v>
      </c>
      <c r="AJ42" s="19">
        <f t="shared" si="20"/>
        <v>0</v>
      </c>
      <c r="AK42" s="19">
        <f t="shared" si="21"/>
        <v>0</v>
      </c>
      <c r="AL42" s="38">
        <f>'Setoran 2'!N42</f>
        <v>0</v>
      </c>
      <c r="AM42" s="19">
        <f t="shared" si="22"/>
        <v>0</v>
      </c>
      <c r="AN42" s="19">
        <f t="shared" si="23"/>
        <v>0</v>
      </c>
      <c r="AO42" s="38">
        <f>'Setoran 2'!O42</f>
        <v>0</v>
      </c>
      <c r="AP42" s="19">
        <f t="shared" si="24"/>
        <v>0</v>
      </c>
      <c r="AQ42" s="19">
        <f t="shared" si="25"/>
        <v>0</v>
      </c>
      <c r="AR42" s="38">
        <f>'Setoran 2'!P42</f>
        <v>0</v>
      </c>
      <c r="AS42" s="19">
        <f t="shared" si="26"/>
        <v>0</v>
      </c>
      <c r="AT42" s="19">
        <f t="shared" si="27"/>
        <v>0</v>
      </c>
      <c r="AU42" s="38">
        <f>'Setoran 2'!Q42</f>
        <v>0</v>
      </c>
      <c r="AV42" s="19">
        <f t="shared" si="28"/>
        <v>0</v>
      </c>
      <c r="AW42" s="19">
        <f t="shared" si="29"/>
        <v>0</v>
      </c>
      <c r="AX42" s="39">
        <f t="shared" si="30"/>
        <v>0</v>
      </c>
      <c r="AY42" s="38">
        <f t="shared" si="31"/>
        <v>0</v>
      </c>
      <c r="AZ42" s="21">
        <f t="shared" si="32"/>
        <v>0</v>
      </c>
      <c r="BA42" s="22">
        <f t="shared" si="33"/>
        <v>0</v>
      </c>
    </row>
    <row r="43" spans="1:53" ht="14.5" customHeight="1" x14ac:dyDescent="0.2">
      <c r="A43" s="23">
        <v>2</v>
      </c>
      <c r="B43" s="53" t="s">
        <v>29</v>
      </c>
      <c r="C43" s="57">
        <f>'Data '!C39</f>
        <v>1100</v>
      </c>
      <c r="D43" s="57">
        <f>'Data '!D39</f>
        <v>1200</v>
      </c>
      <c r="E43" s="39">
        <f>'Setoran 2'!C43</f>
        <v>0</v>
      </c>
      <c r="F43" s="19">
        <f t="shared" si="0"/>
        <v>0</v>
      </c>
      <c r="G43" s="19">
        <f t="shared" si="1"/>
        <v>0</v>
      </c>
      <c r="H43" s="39">
        <f>'Setoran 2'!D43</f>
        <v>0</v>
      </c>
      <c r="I43" s="19">
        <f t="shared" si="2"/>
        <v>0</v>
      </c>
      <c r="J43" s="19">
        <f t="shared" si="3"/>
        <v>0</v>
      </c>
      <c r="K43" s="39">
        <f>'Setoran 2'!E43</f>
        <v>0</v>
      </c>
      <c r="L43" s="19">
        <f t="shared" si="4"/>
        <v>0</v>
      </c>
      <c r="M43" s="19">
        <f t="shared" si="5"/>
        <v>0</v>
      </c>
      <c r="N43" s="39">
        <f>'Setoran 2'!F43</f>
        <v>0</v>
      </c>
      <c r="O43" s="19">
        <f t="shared" si="6"/>
        <v>0</v>
      </c>
      <c r="P43" s="19">
        <f t="shared" si="7"/>
        <v>0</v>
      </c>
      <c r="Q43" s="39">
        <f>'Setoran 2'!G43</f>
        <v>0</v>
      </c>
      <c r="R43" s="19">
        <f t="shared" si="8"/>
        <v>0</v>
      </c>
      <c r="S43" s="19">
        <f t="shared" si="9"/>
        <v>0</v>
      </c>
      <c r="T43" s="39">
        <f>'Setoran 2'!H43</f>
        <v>0</v>
      </c>
      <c r="U43" s="19">
        <f t="shared" si="10"/>
        <v>0</v>
      </c>
      <c r="V43" s="19">
        <f t="shared" si="11"/>
        <v>0</v>
      </c>
      <c r="W43" s="39">
        <f>'Setoran 2'!I43</f>
        <v>0</v>
      </c>
      <c r="X43" s="19">
        <f t="shared" si="12"/>
        <v>0</v>
      </c>
      <c r="Y43" s="19">
        <f t="shared" si="13"/>
        <v>0</v>
      </c>
      <c r="Z43" s="39">
        <f>'Setoran 2'!J43</f>
        <v>0</v>
      </c>
      <c r="AA43" s="19">
        <f t="shared" si="14"/>
        <v>0</v>
      </c>
      <c r="AB43" s="19">
        <f t="shared" si="15"/>
        <v>0</v>
      </c>
      <c r="AC43" s="39">
        <f>'Setoran 2'!K43</f>
        <v>0</v>
      </c>
      <c r="AD43" s="19">
        <f t="shared" si="16"/>
        <v>0</v>
      </c>
      <c r="AE43" s="19">
        <f t="shared" si="17"/>
        <v>0</v>
      </c>
      <c r="AF43" s="38">
        <f>'Setoran 2'!L43</f>
        <v>0</v>
      </c>
      <c r="AG43" s="19">
        <f t="shared" si="18"/>
        <v>0</v>
      </c>
      <c r="AH43" s="19">
        <f t="shared" si="19"/>
        <v>0</v>
      </c>
      <c r="AI43" s="38">
        <f>'Setoran 2'!M43</f>
        <v>0</v>
      </c>
      <c r="AJ43" s="19">
        <f t="shared" si="20"/>
        <v>0</v>
      </c>
      <c r="AK43" s="19">
        <f t="shared" si="21"/>
        <v>0</v>
      </c>
      <c r="AL43" s="38">
        <f>'Setoran 2'!N43</f>
        <v>0</v>
      </c>
      <c r="AM43" s="19">
        <f t="shared" si="22"/>
        <v>0</v>
      </c>
      <c r="AN43" s="19">
        <f t="shared" si="23"/>
        <v>0</v>
      </c>
      <c r="AO43" s="38">
        <f>'Setoran 2'!O43</f>
        <v>0</v>
      </c>
      <c r="AP43" s="19">
        <f t="shared" si="24"/>
        <v>0</v>
      </c>
      <c r="AQ43" s="19">
        <f t="shared" si="25"/>
        <v>0</v>
      </c>
      <c r="AR43" s="38">
        <f>'Setoran 2'!P43</f>
        <v>0</v>
      </c>
      <c r="AS43" s="19">
        <f t="shared" si="26"/>
        <v>0</v>
      </c>
      <c r="AT43" s="19">
        <f t="shared" si="27"/>
        <v>0</v>
      </c>
      <c r="AU43" s="38">
        <f>'Setoran 2'!Q43</f>
        <v>0</v>
      </c>
      <c r="AV43" s="19">
        <f t="shared" si="28"/>
        <v>0</v>
      </c>
      <c r="AW43" s="19">
        <f t="shared" si="29"/>
        <v>0</v>
      </c>
      <c r="AX43" s="39">
        <f t="shared" si="30"/>
        <v>0</v>
      </c>
      <c r="AY43" s="38">
        <f t="shared" si="31"/>
        <v>0</v>
      </c>
      <c r="AZ43" s="21">
        <f t="shared" si="32"/>
        <v>0</v>
      </c>
      <c r="BA43" s="22">
        <f t="shared" si="33"/>
        <v>0</v>
      </c>
    </row>
    <row r="44" spans="1:53" ht="14.5" customHeight="1" x14ac:dyDescent="0.2">
      <c r="A44" s="23">
        <v>3</v>
      </c>
      <c r="B44" s="53" t="s">
        <v>94</v>
      </c>
      <c r="C44" s="57">
        <f>'Data '!C40</f>
        <v>450</v>
      </c>
      <c r="D44" s="57">
        <f>'Data '!D40</f>
        <v>500</v>
      </c>
      <c r="E44" s="39">
        <f>'Setoran 2'!C44</f>
        <v>0</v>
      </c>
      <c r="F44" s="19">
        <f t="shared" si="0"/>
        <v>0</v>
      </c>
      <c r="G44" s="19">
        <f t="shared" si="1"/>
        <v>0</v>
      </c>
      <c r="H44" s="39">
        <f>'Setoran 2'!D44</f>
        <v>0</v>
      </c>
      <c r="I44" s="19">
        <f t="shared" si="2"/>
        <v>0</v>
      </c>
      <c r="J44" s="19">
        <f t="shared" si="3"/>
        <v>0</v>
      </c>
      <c r="K44" s="39">
        <f>'Setoran 2'!E44</f>
        <v>0</v>
      </c>
      <c r="L44" s="19">
        <f t="shared" si="4"/>
        <v>0</v>
      </c>
      <c r="M44" s="19">
        <f t="shared" si="5"/>
        <v>0</v>
      </c>
      <c r="N44" s="39">
        <f>'Setoran 2'!F44</f>
        <v>0</v>
      </c>
      <c r="O44" s="19">
        <f t="shared" si="6"/>
        <v>0</v>
      </c>
      <c r="P44" s="19">
        <f t="shared" si="7"/>
        <v>0</v>
      </c>
      <c r="Q44" s="39">
        <f>'Setoran 2'!G44</f>
        <v>0</v>
      </c>
      <c r="R44" s="19">
        <f t="shared" si="8"/>
        <v>0</v>
      </c>
      <c r="S44" s="19">
        <f t="shared" si="9"/>
        <v>0</v>
      </c>
      <c r="T44" s="39">
        <f>'Setoran 2'!H44</f>
        <v>0</v>
      </c>
      <c r="U44" s="19">
        <f t="shared" si="10"/>
        <v>0</v>
      </c>
      <c r="V44" s="19">
        <f t="shared" si="11"/>
        <v>0</v>
      </c>
      <c r="W44" s="39">
        <f>'Setoran 2'!I44</f>
        <v>0</v>
      </c>
      <c r="X44" s="19">
        <f t="shared" si="12"/>
        <v>0</v>
      </c>
      <c r="Y44" s="19">
        <f t="shared" si="13"/>
        <v>0</v>
      </c>
      <c r="Z44" s="39">
        <f>'Setoran 2'!J44</f>
        <v>0</v>
      </c>
      <c r="AA44" s="19">
        <f t="shared" si="14"/>
        <v>0</v>
      </c>
      <c r="AB44" s="19">
        <f t="shared" si="15"/>
        <v>0</v>
      </c>
      <c r="AC44" s="39">
        <f>'Setoran 2'!K44</f>
        <v>0</v>
      </c>
      <c r="AD44" s="19">
        <f t="shared" si="16"/>
        <v>0</v>
      </c>
      <c r="AE44" s="19">
        <f t="shared" si="17"/>
        <v>0</v>
      </c>
      <c r="AF44" s="38">
        <f>'Setoran 2'!L44</f>
        <v>0</v>
      </c>
      <c r="AG44" s="19">
        <f t="shared" si="18"/>
        <v>0</v>
      </c>
      <c r="AH44" s="19">
        <f t="shared" si="19"/>
        <v>0</v>
      </c>
      <c r="AI44" s="38">
        <f>'Setoran 2'!M44</f>
        <v>0</v>
      </c>
      <c r="AJ44" s="19">
        <f t="shared" si="20"/>
        <v>0</v>
      </c>
      <c r="AK44" s="19">
        <f t="shared" si="21"/>
        <v>0</v>
      </c>
      <c r="AL44" s="38">
        <f>'Setoran 2'!N44</f>
        <v>0</v>
      </c>
      <c r="AM44" s="19">
        <f t="shared" si="22"/>
        <v>0</v>
      </c>
      <c r="AN44" s="19">
        <f t="shared" si="23"/>
        <v>0</v>
      </c>
      <c r="AO44" s="38">
        <f>'Setoran 2'!O44</f>
        <v>0</v>
      </c>
      <c r="AP44" s="19">
        <f t="shared" si="24"/>
        <v>0</v>
      </c>
      <c r="AQ44" s="19">
        <f t="shared" si="25"/>
        <v>0</v>
      </c>
      <c r="AR44" s="38">
        <f>'Setoran 2'!P44</f>
        <v>0</v>
      </c>
      <c r="AS44" s="19">
        <f t="shared" si="26"/>
        <v>0</v>
      </c>
      <c r="AT44" s="19">
        <f t="shared" si="27"/>
        <v>0</v>
      </c>
      <c r="AU44" s="38">
        <f>'Setoran 2'!Q44</f>
        <v>0</v>
      </c>
      <c r="AV44" s="19">
        <f t="shared" si="28"/>
        <v>0</v>
      </c>
      <c r="AW44" s="19">
        <f t="shared" si="29"/>
        <v>0</v>
      </c>
      <c r="AX44" s="39">
        <f t="shared" si="30"/>
        <v>0</v>
      </c>
      <c r="AY44" s="38">
        <f t="shared" si="31"/>
        <v>0</v>
      </c>
      <c r="AZ44" s="21">
        <f t="shared" si="32"/>
        <v>0</v>
      </c>
      <c r="BA44" s="22">
        <f t="shared" si="33"/>
        <v>0</v>
      </c>
    </row>
    <row r="45" spans="1:53" ht="14.5" customHeight="1" x14ac:dyDescent="0.2">
      <c r="A45" s="23">
        <v>4</v>
      </c>
      <c r="B45" s="53" t="s">
        <v>30</v>
      </c>
      <c r="C45" s="57">
        <f>'Data '!C41</f>
        <v>400</v>
      </c>
      <c r="D45" s="57">
        <f>'Data '!D41</f>
        <v>500</v>
      </c>
      <c r="E45" s="39">
        <f>'Setoran 2'!C45</f>
        <v>0</v>
      </c>
      <c r="F45" s="19">
        <f t="shared" si="0"/>
        <v>0</v>
      </c>
      <c r="G45" s="19">
        <f t="shared" si="1"/>
        <v>0</v>
      </c>
      <c r="H45" s="39">
        <f>'Setoran 2'!D45</f>
        <v>0</v>
      </c>
      <c r="I45" s="19">
        <f t="shared" si="2"/>
        <v>0</v>
      </c>
      <c r="J45" s="19">
        <f t="shared" si="3"/>
        <v>0</v>
      </c>
      <c r="K45" s="39">
        <f>'Setoran 2'!E45</f>
        <v>0</v>
      </c>
      <c r="L45" s="19">
        <f t="shared" si="4"/>
        <v>0</v>
      </c>
      <c r="M45" s="19">
        <f t="shared" si="5"/>
        <v>0</v>
      </c>
      <c r="N45" s="39">
        <f>'Setoran 2'!F45</f>
        <v>0</v>
      </c>
      <c r="O45" s="19">
        <f t="shared" si="6"/>
        <v>0</v>
      </c>
      <c r="P45" s="19">
        <f t="shared" si="7"/>
        <v>0</v>
      </c>
      <c r="Q45" s="39">
        <f>'Setoran 2'!G45</f>
        <v>0</v>
      </c>
      <c r="R45" s="19">
        <f t="shared" si="8"/>
        <v>0</v>
      </c>
      <c r="S45" s="19">
        <f t="shared" si="9"/>
        <v>0</v>
      </c>
      <c r="T45" s="39">
        <f>'Setoran 2'!H45</f>
        <v>0</v>
      </c>
      <c r="U45" s="19">
        <f t="shared" si="10"/>
        <v>0</v>
      </c>
      <c r="V45" s="19">
        <f t="shared" si="11"/>
        <v>0</v>
      </c>
      <c r="W45" s="39">
        <f>'Setoran 2'!I45</f>
        <v>0</v>
      </c>
      <c r="X45" s="19">
        <f t="shared" si="12"/>
        <v>0</v>
      </c>
      <c r="Y45" s="19">
        <f t="shared" si="13"/>
        <v>0</v>
      </c>
      <c r="Z45" s="39">
        <f>'Setoran 2'!J45</f>
        <v>0</v>
      </c>
      <c r="AA45" s="19">
        <f t="shared" si="14"/>
        <v>0</v>
      </c>
      <c r="AB45" s="19">
        <f t="shared" si="15"/>
        <v>0</v>
      </c>
      <c r="AC45" s="39">
        <f>'Setoran 2'!K45</f>
        <v>0</v>
      </c>
      <c r="AD45" s="19">
        <f t="shared" si="16"/>
        <v>0</v>
      </c>
      <c r="AE45" s="19">
        <f t="shared" si="17"/>
        <v>0</v>
      </c>
      <c r="AF45" s="38">
        <f>'Setoran 2'!L45</f>
        <v>0</v>
      </c>
      <c r="AG45" s="19">
        <f t="shared" si="18"/>
        <v>0</v>
      </c>
      <c r="AH45" s="19">
        <f t="shared" si="19"/>
        <v>0</v>
      </c>
      <c r="AI45" s="38">
        <f>'Setoran 2'!M45</f>
        <v>0</v>
      </c>
      <c r="AJ45" s="19">
        <f t="shared" si="20"/>
        <v>0</v>
      </c>
      <c r="AK45" s="19">
        <f t="shared" si="21"/>
        <v>0</v>
      </c>
      <c r="AL45" s="38">
        <f>'Setoran 2'!N45</f>
        <v>0</v>
      </c>
      <c r="AM45" s="19">
        <f t="shared" si="22"/>
        <v>0</v>
      </c>
      <c r="AN45" s="19">
        <f t="shared" si="23"/>
        <v>0</v>
      </c>
      <c r="AO45" s="38">
        <f>'Setoran 2'!O45</f>
        <v>0</v>
      </c>
      <c r="AP45" s="19">
        <f t="shared" si="24"/>
        <v>0</v>
      </c>
      <c r="AQ45" s="19">
        <f t="shared" si="25"/>
        <v>0</v>
      </c>
      <c r="AR45" s="38">
        <f>'Setoran 2'!P45</f>
        <v>0</v>
      </c>
      <c r="AS45" s="19">
        <f t="shared" si="26"/>
        <v>0</v>
      </c>
      <c r="AT45" s="19">
        <f t="shared" si="27"/>
        <v>0</v>
      </c>
      <c r="AU45" s="38">
        <f>'Setoran 2'!Q45</f>
        <v>0</v>
      </c>
      <c r="AV45" s="19">
        <f t="shared" si="28"/>
        <v>0</v>
      </c>
      <c r="AW45" s="19">
        <f t="shared" si="29"/>
        <v>0</v>
      </c>
      <c r="AX45" s="39">
        <f t="shared" si="30"/>
        <v>0</v>
      </c>
      <c r="AY45" s="38">
        <f t="shared" si="31"/>
        <v>0</v>
      </c>
      <c r="AZ45" s="21">
        <f t="shared" si="32"/>
        <v>0</v>
      </c>
      <c r="BA45" s="22">
        <f t="shared" si="33"/>
        <v>0</v>
      </c>
    </row>
    <row r="46" spans="1:53" ht="14.5" customHeight="1" x14ac:dyDescent="0.2">
      <c r="A46" s="23">
        <v>5</v>
      </c>
      <c r="B46" s="53" t="s">
        <v>31</v>
      </c>
      <c r="C46" s="57">
        <f>'Data '!C42</f>
        <v>1800</v>
      </c>
      <c r="D46" s="57">
        <f>'Data '!D42</f>
        <v>2000</v>
      </c>
      <c r="E46" s="39">
        <f>'Setoran 2'!C46</f>
        <v>0</v>
      </c>
      <c r="F46" s="19">
        <f t="shared" si="0"/>
        <v>0</v>
      </c>
      <c r="G46" s="19">
        <f t="shared" si="1"/>
        <v>0</v>
      </c>
      <c r="H46" s="39">
        <f>'Setoran 2'!D46</f>
        <v>0</v>
      </c>
      <c r="I46" s="19">
        <f t="shared" si="2"/>
        <v>0</v>
      </c>
      <c r="J46" s="19">
        <f t="shared" si="3"/>
        <v>0</v>
      </c>
      <c r="K46" s="39">
        <f>'Setoran 2'!E46</f>
        <v>0</v>
      </c>
      <c r="L46" s="19">
        <f t="shared" si="4"/>
        <v>0</v>
      </c>
      <c r="M46" s="19">
        <f t="shared" si="5"/>
        <v>0</v>
      </c>
      <c r="N46" s="39">
        <f>'Setoran 2'!F46</f>
        <v>0</v>
      </c>
      <c r="O46" s="19">
        <f t="shared" si="6"/>
        <v>0</v>
      </c>
      <c r="P46" s="19">
        <f t="shared" si="7"/>
        <v>0</v>
      </c>
      <c r="Q46" s="39">
        <f>'Setoran 2'!G46</f>
        <v>0</v>
      </c>
      <c r="R46" s="19">
        <f t="shared" si="8"/>
        <v>0</v>
      </c>
      <c r="S46" s="19">
        <f t="shared" si="9"/>
        <v>0</v>
      </c>
      <c r="T46" s="39">
        <f>'Setoran 2'!H46</f>
        <v>0</v>
      </c>
      <c r="U46" s="19">
        <f t="shared" si="10"/>
        <v>0</v>
      </c>
      <c r="V46" s="19">
        <f t="shared" si="11"/>
        <v>0</v>
      </c>
      <c r="W46" s="39">
        <f>'Setoran 2'!I46</f>
        <v>0</v>
      </c>
      <c r="X46" s="19">
        <f t="shared" si="12"/>
        <v>0</v>
      </c>
      <c r="Y46" s="19">
        <f t="shared" si="13"/>
        <v>0</v>
      </c>
      <c r="Z46" s="39">
        <f>'Setoran 2'!J46</f>
        <v>0</v>
      </c>
      <c r="AA46" s="19">
        <f t="shared" si="14"/>
        <v>0</v>
      </c>
      <c r="AB46" s="19">
        <f t="shared" si="15"/>
        <v>0</v>
      </c>
      <c r="AC46" s="39">
        <f>'Setoran 2'!K46</f>
        <v>0</v>
      </c>
      <c r="AD46" s="19">
        <f t="shared" si="16"/>
        <v>0</v>
      </c>
      <c r="AE46" s="19">
        <f t="shared" si="17"/>
        <v>0</v>
      </c>
      <c r="AF46" s="38">
        <f>'Setoran 2'!L46</f>
        <v>0</v>
      </c>
      <c r="AG46" s="19">
        <f t="shared" si="18"/>
        <v>0</v>
      </c>
      <c r="AH46" s="19">
        <f t="shared" si="19"/>
        <v>0</v>
      </c>
      <c r="AI46" s="38">
        <f>'Setoran 2'!M46</f>
        <v>0</v>
      </c>
      <c r="AJ46" s="19">
        <f t="shared" si="20"/>
        <v>0</v>
      </c>
      <c r="AK46" s="19">
        <f t="shared" si="21"/>
        <v>0</v>
      </c>
      <c r="AL46" s="38">
        <f>'Setoran 2'!N46</f>
        <v>0</v>
      </c>
      <c r="AM46" s="19">
        <f t="shared" si="22"/>
        <v>0</v>
      </c>
      <c r="AN46" s="19">
        <f t="shared" si="23"/>
        <v>0</v>
      </c>
      <c r="AO46" s="38">
        <f>'Setoran 2'!O46</f>
        <v>0</v>
      </c>
      <c r="AP46" s="19">
        <f t="shared" si="24"/>
        <v>0</v>
      </c>
      <c r="AQ46" s="19">
        <f t="shared" si="25"/>
        <v>0</v>
      </c>
      <c r="AR46" s="38">
        <f>'Setoran 2'!P46</f>
        <v>0</v>
      </c>
      <c r="AS46" s="19">
        <f t="shared" si="26"/>
        <v>0</v>
      </c>
      <c r="AT46" s="19">
        <f t="shared" si="27"/>
        <v>0</v>
      </c>
      <c r="AU46" s="38">
        <f>'Setoran 2'!Q46</f>
        <v>0</v>
      </c>
      <c r="AV46" s="19">
        <f t="shared" si="28"/>
        <v>0</v>
      </c>
      <c r="AW46" s="19">
        <f t="shared" si="29"/>
        <v>0</v>
      </c>
      <c r="AX46" s="39">
        <f t="shared" si="30"/>
        <v>0</v>
      </c>
      <c r="AY46" s="38">
        <f t="shared" si="31"/>
        <v>0</v>
      </c>
      <c r="AZ46" s="21">
        <f t="shared" si="32"/>
        <v>0</v>
      </c>
      <c r="BA46" s="22">
        <f t="shared" si="33"/>
        <v>0</v>
      </c>
    </row>
    <row r="47" spans="1:53" ht="14.5" customHeight="1" x14ac:dyDescent="0.2">
      <c r="A47" s="23">
        <v>6</v>
      </c>
      <c r="B47" s="53" t="s">
        <v>32</v>
      </c>
      <c r="C47" s="57">
        <f>'Data '!C43</f>
        <v>75</v>
      </c>
      <c r="D47" s="57">
        <f>'Data '!D43</f>
        <v>100</v>
      </c>
      <c r="E47" s="39">
        <f>'Setoran 2'!C47</f>
        <v>0</v>
      </c>
      <c r="F47" s="19">
        <f t="shared" si="0"/>
        <v>0</v>
      </c>
      <c r="G47" s="19">
        <f t="shared" si="1"/>
        <v>0</v>
      </c>
      <c r="H47" s="39">
        <f>'Setoran 2'!D47</f>
        <v>0</v>
      </c>
      <c r="I47" s="19">
        <f t="shared" si="2"/>
        <v>0</v>
      </c>
      <c r="J47" s="19">
        <f t="shared" si="3"/>
        <v>0</v>
      </c>
      <c r="K47" s="39">
        <f>'Setoran 2'!E47</f>
        <v>0</v>
      </c>
      <c r="L47" s="19">
        <f t="shared" si="4"/>
        <v>0</v>
      </c>
      <c r="M47" s="19">
        <f t="shared" si="5"/>
        <v>0</v>
      </c>
      <c r="N47" s="39">
        <f>'Setoran 2'!F47</f>
        <v>0</v>
      </c>
      <c r="O47" s="19">
        <f t="shared" si="6"/>
        <v>0</v>
      </c>
      <c r="P47" s="19">
        <f t="shared" si="7"/>
        <v>0</v>
      </c>
      <c r="Q47" s="39">
        <f>'Setoran 2'!G47</f>
        <v>0</v>
      </c>
      <c r="R47" s="19">
        <f t="shared" si="8"/>
        <v>0</v>
      </c>
      <c r="S47" s="19">
        <f t="shared" si="9"/>
        <v>0</v>
      </c>
      <c r="T47" s="39">
        <f>'Setoran 2'!H47</f>
        <v>0</v>
      </c>
      <c r="U47" s="19">
        <f t="shared" si="10"/>
        <v>0</v>
      </c>
      <c r="V47" s="19">
        <f t="shared" si="11"/>
        <v>0</v>
      </c>
      <c r="W47" s="39">
        <f>'Setoran 2'!I47</f>
        <v>0</v>
      </c>
      <c r="X47" s="19">
        <f t="shared" si="12"/>
        <v>0</v>
      </c>
      <c r="Y47" s="19">
        <f t="shared" si="13"/>
        <v>0</v>
      </c>
      <c r="Z47" s="39">
        <f>'Setoran 2'!J47</f>
        <v>0</v>
      </c>
      <c r="AA47" s="19">
        <f t="shared" si="14"/>
        <v>0</v>
      </c>
      <c r="AB47" s="19">
        <f t="shared" si="15"/>
        <v>0</v>
      </c>
      <c r="AC47" s="39">
        <f>'Setoran 2'!K47</f>
        <v>0</v>
      </c>
      <c r="AD47" s="19">
        <f t="shared" si="16"/>
        <v>0</v>
      </c>
      <c r="AE47" s="19">
        <f t="shared" si="17"/>
        <v>0</v>
      </c>
      <c r="AF47" s="38">
        <f>'Setoran 2'!L47</f>
        <v>0</v>
      </c>
      <c r="AG47" s="19">
        <f t="shared" si="18"/>
        <v>0</v>
      </c>
      <c r="AH47" s="19">
        <f t="shared" si="19"/>
        <v>0</v>
      </c>
      <c r="AI47" s="38">
        <f>'Setoran 2'!M47</f>
        <v>0</v>
      </c>
      <c r="AJ47" s="19">
        <f t="shared" si="20"/>
        <v>0</v>
      </c>
      <c r="AK47" s="19">
        <f t="shared" si="21"/>
        <v>0</v>
      </c>
      <c r="AL47" s="38">
        <f>'Setoran 2'!N47</f>
        <v>0</v>
      </c>
      <c r="AM47" s="19">
        <f t="shared" si="22"/>
        <v>0</v>
      </c>
      <c r="AN47" s="19">
        <f t="shared" si="23"/>
        <v>0</v>
      </c>
      <c r="AO47" s="38">
        <f>'Setoran 2'!O47</f>
        <v>0</v>
      </c>
      <c r="AP47" s="19">
        <f t="shared" si="24"/>
        <v>0</v>
      </c>
      <c r="AQ47" s="19">
        <f t="shared" si="25"/>
        <v>0</v>
      </c>
      <c r="AR47" s="38">
        <f>'Setoran 2'!P47</f>
        <v>0</v>
      </c>
      <c r="AS47" s="19">
        <f t="shared" si="26"/>
        <v>0</v>
      </c>
      <c r="AT47" s="19">
        <f t="shared" si="27"/>
        <v>0</v>
      </c>
      <c r="AU47" s="38">
        <f>'Setoran 2'!Q47</f>
        <v>0</v>
      </c>
      <c r="AV47" s="19">
        <f t="shared" si="28"/>
        <v>0</v>
      </c>
      <c r="AW47" s="19">
        <f t="shared" si="29"/>
        <v>0</v>
      </c>
      <c r="AX47" s="39">
        <f t="shared" si="30"/>
        <v>0</v>
      </c>
      <c r="AY47" s="38">
        <f t="shared" si="31"/>
        <v>0</v>
      </c>
      <c r="AZ47" s="21">
        <f t="shared" si="32"/>
        <v>0</v>
      </c>
      <c r="BA47" s="22">
        <f t="shared" si="33"/>
        <v>0</v>
      </c>
    </row>
    <row r="48" spans="1:53" ht="14.5" customHeight="1" x14ac:dyDescent="0.2">
      <c r="A48" s="23">
        <v>7</v>
      </c>
      <c r="B48" s="53" t="s">
        <v>33</v>
      </c>
      <c r="C48" s="57">
        <f>'Data '!C44</f>
        <v>700</v>
      </c>
      <c r="D48" s="57">
        <f>'Data '!D44</f>
        <v>800</v>
      </c>
      <c r="E48" s="39">
        <f>'Setoran 2'!C48</f>
        <v>0</v>
      </c>
      <c r="F48" s="19">
        <f t="shared" si="0"/>
        <v>0</v>
      </c>
      <c r="G48" s="19">
        <f t="shared" si="1"/>
        <v>0</v>
      </c>
      <c r="H48" s="39">
        <f>'Setoran 2'!D48</f>
        <v>0</v>
      </c>
      <c r="I48" s="19">
        <f t="shared" si="2"/>
        <v>0</v>
      </c>
      <c r="J48" s="19">
        <f t="shared" si="3"/>
        <v>0</v>
      </c>
      <c r="K48" s="39">
        <f>'Setoran 2'!E48</f>
        <v>0</v>
      </c>
      <c r="L48" s="19">
        <f t="shared" si="4"/>
        <v>0</v>
      </c>
      <c r="M48" s="19">
        <f t="shared" si="5"/>
        <v>0</v>
      </c>
      <c r="N48" s="39">
        <f>'Setoran 2'!F48</f>
        <v>0</v>
      </c>
      <c r="O48" s="19">
        <f t="shared" si="6"/>
        <v>0</v>
      </c>
      <c r="P48" s="19">
        <f t="shared" si="7"/>
        <v>0</v>
      </c>
      <c r="Q48" s="39">
        <f>'Setoran 2'!G48</f>
        <v>0</v>
      </c>
      <c r="R48" s="19">
        <f t="shared" si="8"/>
        <v>0</v>
      </c>
      <c r="S48" s="19">
        <f t="shared" si="9"/>
        <v>0</v>
      </c>
      <c r="T48" s="39">
        <f>'Setoran 2'!H48</f>
        <v>0</v>
      </c>
      <c r="U48" s="19">
        <f t="shared" si="10"/>
        <v>0</v>
      </c>
      <c r="V48" s="19">
        <f t="shared" si="11"/>
        <v>0</v>
      </c>
      <c r="W48" s="39">
        <f>'Setoran 2'!I48</f>
        <v>0</v>
      </c>
      <c r="X48" s="19">
        <f t="shared" si="12"/>
        <v>0</v>
      </c>
      <c r="Y48" s="19">
        <f t="shared" si="13"/>
        <v>0</v>
      </c>
      <c r="Z48" s="39">
        <f>'Setoran 2'!J48</f>
        <v>0</v>
      </c>
      <c r="AA48" s="19">
        <f t="shared" si="14"/>
        <v>0</v>
      </c>
      <c r="AB48" s="19">
        <f t="shared" si="15"/>
        <v>0</v>
      </c>
      <c r="AC48" s="39">
        <f>'Setoran 2'!K48</f>
        <v>0</v>
      </c>
      <c r="AD48" s="19">
        <f t="shared" si="16"/>
        <v>0</v>
      </c>
      <c r="AE48" s="19">
        <f t="shared" si="17"/>
        <v>0</v>
      </c>
      <c r="AF48" s="38">
        <f>'Setoran 2'!L48</f>
        <v>0</v>
      </c>
      <c r="AG48" s="19">
        <f t="shared" si="18"/>
        <v>0</v>
      </c>
      <c r="AH48" s="19">
        <f t="shared" si="19"/>
        <v>0</v>
      </c>
      <c r="AI48" s="38">
        <f>'Setoran 2'!M48</f>
        <v>0</v>
      </c>
      <c r="AJ48" s="19">
        <f t="shared" si="20"/>
        <v>0</v>
      </c>
      <c r="AK48" s="19">
        <f t="shared" si="21"/>
        <v>0</v>
      </c>
      <c r="AL48" s="38">
        <f>'Setoran 2'!N48</f>
        <v>0</v>
      </c>
      <c r="AM48" s="19">
        <f t="shared" si="22"/>
        <v>0</v>
      </c>
      <c r="AN48" s="19">
        <f t="shared" si="23"/>
        <v>0</v>
      </c>
      <c r="AO48" s="38">
        <f>'Setoran 2'!O48</f>
        <v>0</v>
      </c>
      <c r="AP48" s="19">
        <f t="shared" si="24"/>
        <v>0</v>
      </c>
      <c r="AQ48" s="19">
        <f t="shared" si="25"/>
        <v>0</v>
      </c>
      <c r="AR48" s="38">
        <f>'Setoran 2'!P48</f>
        <v>0</v>
      </c>
      <c r="AS48" s="19">
        <f t="shared" si="26"/>
        <v>0</v>
      </c>
      <c r="AT48" s="19">
        <f t="shared" si="27"/>
        <v>0</v>
      </c>
      <c r="AU48" s="38">
        <f>'Setoran 2'!Q48</f>
        <v>0</v>
      </c>
      <c r="AV48" s="19">
        <f t="shared" si="28"/>
        <v>0</v>
      </c>
      <c r="AW48" s="19">
        <f t="shared" si="29"/>
        <v>0</v>
      </c>
      <c r="AX48" s="39">
        <f t="shared" si="30"/>
        <v>0</v>
      </c>
      <c r="AY48" s="38">
        <f t="shared" si="31"/>
        <v>0</v>
      </c>
      <c r="AZ48" s="21">
        <f t="shared" si="32"/>
        <v>0</v>
      </c>
      <c r="BA48" s="22">
        <f t="shared" si="33"/>
        <v>0</v>
      </c>
    </row>
    <row r="49" spans="1:53" ht="14.5" customHeight="1" x14ac:dyDescent="0.2">
      <c r="A49" s="23">
        <v>8</v>
      </c>
      <c r="B49" s="53" t="s">
        <v>34</v>
      </c>
      <c r="C49" s="57">
        <f>'Data '!C45</f>
        <v>75</v>
      </c>
      <c r="D49" s="57">
        <f>'Data '!D45</f>
        <v>100</v>
      </c>
      <c r="E49" s="39">
        <f>'Setoran 2'!C49</f>
        <v>0</v>
      </c>
      <c r="F49" s="19">
        <f t="shared" si="0"/>
        <v>0</v>
      </c>
      <c r="G49" s="19">
        <f t="shared" si="1"/>
        <v>0</v>
      </c>
      <c r="H49" s="39">
        <f>'Setoran 2'!D49</f>
        <v>0</v>
      </c>
      <c r="I49" s="19">
        <f t="shared" si="2"/>
        <v>0</v>
      </c>
      <c r="J49" s="19">
        <f t="shared" si="3"/>
        <v>0</v>
      </c>
      <c r="K49" s="39">
        <f>'Setoran 2'!E49</f>
        <v>0</v>
      </c>
      <c r="L49" s="19">
        <f t="shared" si="4"/>
        <v>0</v>
      </c>
      <c r="M49" s="19">
        <f t="shared" si="5"/>
        <v>0</v>
      </c>
      <c r="N49" s="39">
        <f>'Setoran 2'!F49</f>
        <v>0</v>
      </c>
      <c r="O49" s="19">
        <f t="shared" si="6"/>
        <v>0</v>
      </c>
      <c r="P49" s="19">
        <f t="shared" si="7"/>
        <v>0</v>
      </c>
      <c r="Q49" s="39">
        <f>'Setoran 2'!G49</f>
        <v>0</v>
      </c>
      <c r="R49" s="19">
        <f t="shared" si="8"/>
        <v>0</v>
      </c>
      <c r="S49" s="19">
        <f t="shared" si="9"/>
        <v>0</v>
      </c>
      <c r="T49" s="39">
        <f>'Setoran 2'!H49</f>
        <v>0</v>
      </c>
      <c r="U49" s="19">
        <f t="shared" si="10"/>
        <v>0</v>
      </c>
      <c r="V49" s="19">
        <f t="shared" si="11"/>
        <v>0</v>
      </c>
      <c r="W49" s="39">
        <f>'Setoran 2'!I49</f>
        <v>0</v>
      </c>
      <c r="X49" s="19">
        <f t="shared" si="12"/>
        <v>0</v>
      </c>
      <c r="Y49" s="19">
        <f t="shared" si="13"/>
        <v>0</v>
      </c>
      <c r="Z49" s="39">
        <f>'Setoran 2'!J49</f>
        <v>0</v>
      </c>
      <c r="AA49" s="19">
        <f t="shared" si="14"/>
        <v>0</v>
      </c>
      <c r="AB49" s="19">
        <f t="shared" si="15"/>
        <v>0</v>
      </c>
      <c r="AC49" s="39">
        <f>'Setoran 2'!K49</f>
        <v>0</v>
      </c>
      <c r="AD49" s="19">
        <f t="shared" si="16"/>
        <v>0</v>
      </c>
      <c r="AE49" s="19">
        <f t="shared" si="17"/>
        <v>0</v>
      </c>
      <c r="AF49" s="38">
        <f>'Setoran 2'!L49</f>
        <v>0</v>
      </c>
      <c r="AG49" s="19">
        <f t="shared" si="18"/>
        <v>0</v>
      </c>
      <c r="AH49" s="19">
        <f t="shared" si="19"/>
        <v>0</v>
      </c>
      <c r="AI49" s="38">
        <f>'Setoran 2'!M49</f>
        <v>0</v>
      </c>
      <c r="AJ49" s="19">
        <f t="shared" si="20"/>
        <v>0</v>
      </c>
      <c r="AK49" s="19">
        <f t="shared" si="21"/>
        <v>0</v>
      </c>
      <c r="AL49" s="38">
        <f>'Setoran 2'!N49</f>
        <v>0</v>
      </c>
      <c r="AM49" s="19">
        <f t="shared" si="22"/>
        <v>0</v>
      </c>
      <c r="AN49" s="19">
        <f t="shared" si="23"/>
        <v>0</v>
      </c>
      <c r="AO49" s="38">
        <f>'Setoran 2'!O49</f>
        <v>0</v>
      </c>
      <c r="AP49" s="19">
        <f t="shared" si="24"/>
        <v>0</v>
      </c>
      <c r="AQ49" s="19">
        <f t="shared" si="25"/>
        <v>0</v>
      </c>
      <c r="AR49" s="38">
        <f>'Setoran 2'!P49</f>
        <v>0</v>
      </c>
      <c r="AS49" s="19">
        <f t="shared" si="26"/>
        <v>0</v>
      </c>
      <c r="AT49" s="19">
        <f t="shared" si="27"/>
        <v>0</v>
      </c>
      <c r="AU49" s="38">
        <f>'Setoran 2'!Q49</f>
        <v>0</v>
      </c>
      <c r="AV49" s="19">
        <f t="shared" si="28"/>
        <v>0</v>
      </c>
      <c r="AW49" s="19">
        <f t="shared" si="29"/>
        <v>0</v>
      </c>
      <c r="AX49" s="39">
        <f t="shared" si="30"/>
        <v>0</v>
      </c>
      <c r="AY49" s="38">
        <f t="shared" si="31"/>
        <v>0</v>
      </c>
      <c r="AZ49" s="21">
        <f t="shared" si="32"/>
        <v>0</v>
      </c>
      <c r="BA49" s="22">
        <f t="shared" si="33"/>
        <v>0</v>
      </c>
    </row>
    <row r="50" spans="1:53" ht="14.5" customHeight="1" x14ac:dyDescent="0.2">
      <c r="A50" s="51" t="s">
        <v>35</v>
      </c>
      <c r="B50" s="5"/>
      <c r="C50" s="40"/>
      <c r="D50" s="42"/>
      <c r="E50" s="39"/>
      <c r="F50" s="19"/>
      <c r="G50" s="19"/>
      <c r="H50" s="39"/>
      <c r="I50" s="19"/>
      <c r="J50" s="19"/>
      <c r="K50" s="39"/>
      <c r="L50" s="19"/>
      <c r="M50" s="19"/>
      <c r="N50" s="39"/>
      <c r="O50" s="19"/>
      <c r="P50" s="19"/>
      <c r="Q50" s="39"/>
      <c r="R50" s="19"/>
      <c r="S50" s="19"/>
      <c r="T50" s="39"/>
      <c r="U50" s="19"/>
      <c r="V50" s="19"/>
      <c r="W50" s="39"/>
      <c r="X50" s="19"/>
      <c r="Y50" s="19"/>
      <c r="Z50" s="39"/>
      <c r="AA50" s="19"/>
      <c r="AB50" s="19"/>
      <c r="AC50" s="39"/>
      <c r="AD50" s="19"/>
      <c r="AE50" s="19"/>
      <c r="AF50" s="38"/>
      <c r="AG50" s="19"/>
      <c r="AH50" s="19"/>
      <c r="AI50" s="38"/>
      <c r="AJ50" s="19"/>
      <c r="AK50" s="19"/>
      <c r="AL50" s="38"/>
      <c r="AM50" s="19"/>
      <c r="AN50" s="19"/>
      <c r="AO50" s="38"/>
      <c r="AP50" s="19"/>
      <c r="AQ50" s="19"/>
      <c r="AR50" s="38"/>
      <c r="AS50" s="19"/>
      <c r="AT50" s="19"/>
      <c r="AU50" s="38"/>
      <c r="AV50" s="19"/>
      <c r="AW50" s="19"/>
      <c r="AX50" s="39"/>
      <c r="AY50" s="38"/>
      <c r="AZ50" s="21"/>
      <c r="BA50" s="22"/>
    </row>
    <row r="51" spans="1:53" ht="14.5" customHeight="1" x14ac:dyDescent="0.2">
      <c r="A51" s="71">
        <v>1</v>
      </c>
      <c r="B51" s="53" t="s">
        <v>36</v>
      </c>
      <c r="C51" s="57">
        <f>'Data '!C47</f>
        <v>1000</v>
      </c>
      <c r="D51" s="57">
        <f>'Data '!D47</f>
        <v>1500</v>
      </c>
      <c r="E51" s="39">
        <f>'Setoran 2'!C51</f>
        <v>0</v>
      </c>
      <c r="F51" s="19">
        <f t="shared" si="0"/>
        <v>0</v>
      </c>
      <c r="G51" s="19">
        <f t="shared" si="1"/>
        <v>0</v>
      </c>
      <c r="H51" s="39">
        <f>'Setoran 2'!D51</f>
        <v>0</v>
      </c>
      <c r="I51" s="19">
        <f t="shared" si="2"/>
        <v>0</v>
      </c>
      <c r="J51" s="19">
        <f t="shared" si="3"/>
        <v>0</v>
      </c>
      <c r="K51" s="39">
        <f>'Setoran 2'!E51</f>
        <v>0</v>
      </c>
      <c r="L51" s="19">
        <f t="shared" si="4"/>
        <v>0</v>
      </c>
      <c r="M51" s="19">
        <f t="shared" si="5"/>
        <v>0</v>
      </c>
      <c r="N51" s="39">
        <f>'Setoran 2'!F51</f>
        <v>0</v>
      </c>
      <c r="O51" s="19">
        <f t="shared" si="6"/>
        <v>0</v>
      </c>
      <c r="P51" s="19">
        <f t="shared" si="7"/>
        <v>0</v>
      </c>
      <c r="Q51" s="39">
        <f>'Setoran 2'!G51</f>
        <v>0</v>
      </c>
      <c r="R51" s="19">
        <f t="shared" si="8"/>
        <v>0</v>
      </c>
      <c r="S51" s="19">
        <f t="shared" si="9"/>
        <v>0</v>
      </c>
      <c r="T51" s="39">
        <f>'Setoran 2'!H51</f>
        <v>0</v>
      </c>
      <c r="U51" s="19">
        <f t="shared" si="10"/>
        <v>0</v>
      </c>
      <c r="V51" s="19">
        <f t="shared" si="11"/>
        <v>0</v>
      </c>
      <c r="W51" s="39">
        <f>'Setoran 2'!I51</f>
        <v>0</v>
      </c>
      <c r="X51" s="19">
        <f t="shared" si="12"/>
        <v>0</v>
      </c>
      <c r="Y51" s="19">
        <f t="shared" si="13"/>
        <v>0</v>
      </c>
      <c r="Z51" s="39">
        <f>'Setoran 2'!J51</f>
        <v>0</v>
      </c>
      <c r="AA51" s="19">
        <f t="shared" si="14"/>
        <v>0</v>
      </c>
      <c r="AB51" s="19">
        <f t="shared" si="15"/>
        <v>0</v>
      </c>
      <c r="AC51" s="39">
        <f>'Setoran 2'!K51</f>
        <v>0</v>
      </c>
      <c r="AD51" s="19">
        <f t="shared" si="16"/>
        <v>0</v>
      </c>
      <c r="AE51" s="19">
        <f t="shared" si="17"/>
        <v>0</v>
      </c>
      <c r="AF51" s="38">
        <f>'Setoran 2'!L51</f>
        <v>0</v>
      </c>
      <c r="AG51" s="19">
        <f t="shared" si="18"/>
        <v>0</v>
      </c>
      <c r="AH51" s="19">
        <f t="shared" si="19"/>
        <v>0</v>
      </c>
      <c r="AI51" s="38">
        <f>'Setoran 2'!M51</f>
        <v>0</v>
      </c>
      <c r="AJ51" s="19">
        <f t="shared" si="20"/>
        <v>0</v>
      </c>
      <c r="AK51" s="19">
        <f t="shared" si="21"/>
        <v>0</v>
      </c>
      <c r="AL51" s="38">
        <f>'Setoran 2'!N51</f>
        <v>0</v>
      </c>
      <c r="AM51" s="19">
        <f t="shared" si="22"/>
        <v>0</v>
      </c>
      <c r="AN51" s="19">
        <f t="shared" si="23"/>
        <v>0</v>
      </c>
      <c r="AO51" s="38">
        <f>'Setoran 2'!O51</f>
        <v>0</v>
      </c>
      <c r="AP51" s="19">
        <f t="shared" si="24"/>
        <v>0</v>
      </c>
      <c r="AQ51" s="19">
        <f t="shared" si="25"/>
        <v>0</v>
      </c>
      <c r="AR51" s="38">
        <f>'Setoran 2'!P51</f>
        <v>0</v>
      </c>
      <c r="AS51" s="19">
        <f t="shared" si="26"/>
        <v>0</v>
      </c>
      <c r="AT51" s="19">
        <f t="shared" si="27"/>
        <v>0</v>
      </c>
      <c r="AU51" s="38">
        <f>'Setoran 2'!Q51</f>
        <v>0</v>
      </c>
      <c r="AV51" s="19">
        <f t="shared" si="28"/>
        <v>0</v>
      </c>
      <c r="AW51" s="19">
        <f t="shared" si="29"/>
        <v>0</v>
      </c>
      <c r="AX51" s="39">
        <f t="shared" si="30"/>
        <v>0</v>
      </c>
      <c r="AY51" s="38">
        <f t="shared" si="31"/>
        <v>0</v>
      </c>
      <c r="AZ51" s="21">
        <f t="shared" si="32"/>
        <v>0</v>
      </c>
      <c r="BA51" s="22">
        <f t="shared" si="33"/>
        <v>0</v>
      </c>
    </row>
    <row r="52" spans="1:53" ht="14.5" customHeight="1" x14ac:dyDescent="0.2">
      <c r="A52" s="71">
        <v>2</v>
      </c>
      <c r="B52" s="53" t="s">
        <v>37</v>
      </c>
      <c r="C52" s="57">
        <f>'Data '!C48</f>
        <v>1100</v>
      </c>
      <c r="D52" s="57">
        <f>'Data '!D48</f>
        <v>1200</v>
      </c>
      <c r="E52" s="39">
        <f>'Setoran 2'!C52</f>
        <v>0</v>
      </c>
      <c r="F52" s="19">
        <f t="shared" si="0"/>
        <v>0</v>
      </c>
      <c r="G52" s="19">
        <f t="shared" si="1"/>
        <v>0</v>
      </c>
      <c r="H52" s="39">
        <f>'Setoran 2'!D52</f>
        <v>0</v>
      </c>
      <c r="I52" s="19">
        <f t="shared" si="2"/>
        <v>0</v>
      </c>
      <c r="J52" s="19">
        <f t="shared" si="3"/>
        <v>0</v>
      </c>
      <c r="K52" s="39">
        <f>'Setoran 2'!E52</f>
        <v>0</v>
      </c>
      <c r="L52" s="19">
        <f t="shared" si="4"/>
        <v>0</v>
      </c>
      <c r="M52" s="19">
        <f t="shared" si="5"/>
        <v>0</v>
      </c>
      <c r="N52" s="39">
        <f>'Setoran 2'!F52</f>
        <v>0</v>
      </c>
      <c r="O52" s="19">
        <f t="shared" si="6"/>
        <v>0</v>
      </c>
      <c r="P52" s="19">
        <f t="shared" si="7"/>
        <v>0</v>
      </c>
      <c r="Q52" s="39">
        <f>'Setoran 2'!G52</f>
        <v>0</v>
      </c>
      <c r="R52" s="19">
        <f t="shared" si="8"/>
        <v>0</v>
      </c>
      <c r="S52" s="19">
        <f t="shared" si="9"/>
        <v>0</v>
      </c>
      <c r="T52" s="39">
        <f>'Setoran 2'!H52</f>
        <v>0</v>
      </c>
      <c r="U52" s="19">
        <f t="shared" si="10"/>
        <v>0</v>
      </c>
      <c r="V52" s="19">
        <f t="shared" si="11"/>
        <v>0</v>
      </c>
      <c r="W52" s="39">
        <f>'Setoran 2'!I52</f>
        <v>0</v>
      </c>
      <c r="X52" s="19">
        <f t="shared" si="12"/>
        <v>0</v>
      </c>
      <c r="Y52" s="19">
        <f t="shared" si="13"/>
        <v>0</v>
      </c>
      <c r="Z52" s="39">
        <f>'Setoran 2'!J52</f>
        <v>0</v>
      </c>
      <c r="AA52" s="19">
        <f t="shared" si="14"/>
        <v>0</v>
      </c>
      <c r="AB52" s="19">
        <f t="shared" si="15"/>
        <v>0</v>
      </c>
      <c r="AC52" s="39">
        <f>'Setoran 2'!K52</f>
        <v>0</v>
      </c>
      <c r="AD52" s="19">
        <f t="shared" si="16"/>
        <v>0</v>
      </c>
      <c r="AE52" s="19">
        <f t="shared" si="17"/>
        <v>0</v>
      </c>
      <c r="AF52" s="38">
        <f>'Setoran 2'!L52</f>
        <v>0</v>
      </c>
      <c r="AG52" s="19">
        <f t="shared" si="18"/>
        <v>0</v>
      </c>
      <c r="AH52" s="19">
        <f t="shared" si="19"/>
        <v>0</v>
      </c>
      <c r="AI52" s="38">
        <f>'Setoran 2'!M52</f>
        <v>0</v>
      </c>
      <c r="AJ52" s="19">
        <f t="shared" si="20"/>
        <v>0</v>
      </c>
      <c r="AK52" s="19">
        <f t="shared" si="21"/>
        <v>0</v>
      </c>
      <c r="AL52" s="38">
        <f>'Setoran 2'!N52</f>
        <v>0</v>
      </c>
      <c r="AM52" s="19">
        <f t="shared" si="22"/>
        <v>0</v>
      </c>
      <c r="AN52" s="19">
        <f t="shared" si="23"/>
        <v>0</v>
      </c>
      <c r="AO52" s="38">
        <f>'Setoran 2'!O52</f>
        <v>0</v>
      </c>
      <c r="AP52" s="19">
        <f t="shared" si="24"/>
        <v>0</v>
      </c>
      <c r="AQ52" s="19">
        <f t="shared" si="25"/>
        <v>0</v>
      </c>
      <c r="AR52" s="38">
        <f>'Setoran 2'!P52</f>
        <v>0</v>
      </c>
      <c r="AS52" s="19">
        <f t="shared" si="26"/>
        <v>0</v>
      </c>
      <c r="AT52" s="19">
        <f t="shared" si="27"/>
        <v>0</v>
      </c>
      <c r="AU52" s="38">
        <f>'Setoran 2'!Q52</f>
        <v>0</v>
      </c>
      <c r="AV52" s="19">
        <f t="shared" si="28"/>
        <v>0</v>
      </c>
      <c r="AW52" s="19">
        <f t="shared" si="29"/>
        <v>0</v>
      </c>
      <c r="AX52" s="39">
        <f t="shared" si="30"/>
        <v>0</v>
      </c>
      <c r="AY52" s="38">
        <f t="shared" si="31"/>
        <v>0</v>
      </c>
      <c r="AZ52" s="21">
        <f t="shared" si="32"/>
        <v>0</v>
      </c>
      <c r="BA52" s="22">
        <f t="shared" si="33"/>
        <v>0</v>
      </c>
    </row>
    <row r="53" spans="1:53" ht="14.5" customHeight="1" x14ac:dyDescent="0.2">
      <c r="A53" s="71">
        <v>3</v>
      </c>
      <c r="B53" s="53" t="s">
        <v>38</v>
      </c>
      <c r="C53" s="57">
        <f>'Data '!C49</f>
        <v>2300</v>
      </c>
      <c r="D53" s="57">
        <f>'Data '!D49</f>
        <v>2500</v>
      </c>
      <c r="E53" s="39">
        <f>'Setoran 2'!C53</f>
        <v>0</v>
      </c>
      <c r="F53" s="19">
        <f t="shared" si="0"/>
        <v>0</v>
      </c>
      <c r="G53" s="19">
        <f t="shared" si="1"/>
        <v>0</v>
      </c>
      <c r="H53" s="39">
        <f>'Setoran 2'!D53</f>
        <v>0</v>
      </c>
      <c r="I53" s="19">
        <f t="shared" si="2"/>
        <v>0</v>
      </c>
      <c r="J53" s="19">
        <f t="shared" si="3"/>
        <v>0</v>
      </c>
      <c r="K53" s="39">
        <f>'Setoran 2'!E53</f>
        <v>0</v>
      </c>
      <c r="L53" s="19">
        <f t="shared" si="4"/>
        <v>0</v>
      </c>
      <c r="M53" s="19">
        <f t="shared" si="5"/>
        <v>0</v>
      </c>
      <c r="N53" s="39">
        <f>'Setoran 2'!F53</f>
        <v>0</v>
      </c>
      <c r="O53" s="19">
        <f t="shared" si="6"/>
        <v>0</v>
      </c>
      <c r="P53" s="19">
        <f t="shared" si="7"/>
        <v>0</v>
      </c>
      <c r="Q53" s="39">
        <f>'Setoran 2'!G53</f>
        <v>0</v>
      </c>
      <c r="R53" s="19">
        <f t="shared" si="8"/>
        <v>0</v>
      </c>
      <c r="S53" s="19">
        <f t="shared" si="9"/>
        <v>0</v>
      </c>
      <c r="T53" s="39">
        <f>'Setoran 2'!H53</f>
        <v>0</v>
      </c>
      <c r="U53" s="19">
        <f t="shared" si="10"/>
        <v>0</v>
      </c>
      <c r="V53" s="19">
        <f t="shared" si="11"/>
        <v>0</v>
      </c>
      <c r="W53" s="39">
        <f>'Setoran 2'!I53</f>
        <v>0</v>
      </c>
      <c r="X53" s="19">
        <f t="shared" si="12"/>
        <v>0</v>
      </c>
      <c r="Y53" s="19">
        <f t="shared" si="13"/>
        <v>0</v>
      </c>
      <c r="Z53" s="39">
        <f>'Setoran 2'!J53</f>
        <v>0</v>
      </c>
      <c r="AA53" s="19">
        <f t="shared" si="14"/>
        <v>0</v>
      </c>
      <c r="AB53" s="19">
        <f t="shared" si="15"/>
        <v>0</v>
      </c>
      <c r="AC53" s="39">
        <f>'Setoran 2'!K53</f>
        <v>0</v>
      </c>
      <c r="AD53" s="19">
        <f t="shared" si="16"/>
        <v>0</v>
      </c>
      <c r="AE53" s="19">
        <f t="shared" si="17"/>
        <v>0</v>
      </c>
      <c r="AF53" s="38">
        <f>'Setoran 2'!L53</f>
        <v>0</v>
      </c>
      <c r="AG53" s="19">
        <f t="shared" si="18"/>
        <v>0</v>
      </c>
      <c r="AH53" s="19">
        <f t="shared" si="19"/>
        <v>0</v>
      </c>
      <c r="AI53" s="38">
        <f>'Setoran 2'!M53</f>
        <v>0</v>
      </c>
      <c r="AJ53" s="19">
        <f t="shared" si="20"/>
        <v>0</v>
      </c>
      <c r="AK53" s="19">
        <f t="shared" si="21"/>
        <v>0</v>
      </c>
      <c r="AL53" s="38">
        <f>'Setoran 2'!N53</f>
        <v>0</v>
      </c>
      <c r="AM53" s="19">
        <f t="shared" si="22"/>
        <v>0</v>
      </c>
      <c r="AN53" s="19">
        <f t="shared" si="23"/>
        <v>0</v>
      </c>
      <c r="AO53" s="38">
        <f>'Setoran 2'!O53</f>
        <v>0</v>
      </c>
      <c r="AP53" s="19">
        <f t="shared" si="24"/>
        <v>0</v>
      </c>
      <c r="AQ53" s="19">
        <f t="shared" si="25"/>
        <v>0</v>
      </c>
      <c r="AR53" s="38">
        <f>'Setoran 2'!P53</f>
        <v>0</v>
      </c>
      <c r="AS53" s="19">
        <f t="shared" si="26"/>
        <v>0</v>
      </c>
      <c r="AT53" s="19">
        <f t="shared" si="27"/>
        <v>0</v>
      </c>
      <c r="AU53" s="38">
        <f>'Setoran 2'!Q53</f>
        <v>0</v>
      </c>
      <c r="AV53" s="19">
        <f t="shared" si="28"/>
        <v>0</v>
      </c>
      <c r="AW53" s="19">
        <f t="shared" si="29"/>
        <v>0</v>
      </c>
      <c r="AX53" s="39">
        <f t="shared" si="30"/>
        <v>0</v>
      </c>
      <c r="AY53" s="38">
        <f t="shared" si="31"/>
        <v>0</v>
      </c>
      <c r="AZ53" s="21">
        <f t="shared" si="32"/>
        <v>0</v>
      </c>
      <c r="BA53" s="22">
        <f t="shared" si="33"/>
        <v>0</v>
      </c>
    </row>
    <row r="54" spans="1:53" ht="14.5" customHeight="1" x14ac:dyDescent="0.2">
      <c r="A54" s="71">
        <v>4</v>
      </c>
      <c r="B54" s="53" t="s">
        <v>96</v>
      </c>
      <c r="C54" s="57">
        <f>'Data '!C50</f>
        <v>200</v>
      </c>
      <c r="D54" s="57">
        <f>'Data '!D50</f>
        <v>300</v>
      </c>
      <c r="E54" s="39">
        <f>'Setoran 2'!C54</f>
        <v>0</v>
      </c>
      <c r="F54" s="19">
        <f t="shared" si="0"/>
        <v>0</v>
      </c>
      <c r="G54" s="19">
        <f t="shared" si="1"/>
        <v>0</v>
      </c>
      <c r="H54" s="39">
        <f>'Setoran 2'!D54</f>
        <v>0</v>
      </c>
      <c r="I54" s="19">
        <f t="shared" si="2"/>
        <v>0</v>
      </c>
      <c r="J54" s="19">
        <f t="shared" si="3"/>
        <v>0</v>
      </c>
      <c r="K54" s="39">
        <f>'Setoran 2'!E54</f>
        <v>0</v>
      </c>
      <c r="L54" s="19">
        <f t="shared" si="4"/>
        <v>0</v>
      </c>
      <c r="M54" s="19">
        <f t="shared" si="5"/>
        <v>0</v>
      </c>
      <c r="N54" s="39">
        <f>'Setoran 2'!F54</f>
        <v>0</v>
      </c>
      <c r="O54" s="19">
        <f t="shared" si="6"/>
        <v>0</v>
      </c>
      <c r="P54" s="19">
        <f t="shared" si="7"/>
        <v>0</v>
      </c>
      <c r="Q54" s="39">
        <f>'Setoran 2'!G54</f>
        <v>0</v>
      </c>
      <c r="R54" s="19">
        <f t="shared" si="8"/>
        <v>0</v>
      </c>
      <c r="S54" s="19">
        <f t="shared" si="9"/>
        <v>0</v>
      </c>
      <c r="T54" s="39">
        <f>'Setoran 2'!H54</f>
        <v>0</v>
      </c>
      <c r="U54" s="19">
        <f t="shared" si="10"/>
        <v>0</v>
      </c>
      <c r="V54" s="19">
        <f t="shared" si="11"/>
        <v>0</v>
      </c>
      <c r="W54" s="39">
        <f>'Setoran 2'!I54</f>
        <v>0</v>
      </c>
      <c r="X54" s="19">
        <f t="shared" si="12"/>
        <v>0</v>
      </c>
      <c r="Y54" s="19">
        <f t="shared" si="13"/>
        <v>0</v>
      </c>
      <c r="Z54" s="39">
        <f>'Setoran 2'!J54</f>
        <v>0</v>
      </c>
      <c r="AA54" s="19">
        <f t="shared" si="14"/>
        <v>0</v>
      </c>
      <c r="AB54" s="19">
        <f t="shared" si="15"/>
        <v>0</v>
      </c>
      <c r="AC54" s="39">
        <f>'Setoran 2'!K54</f>
        <v>0</v>
      </c>
      <c r="AD54" s="19">
        <f t="shared" si="16"/>
        <v>0</v>
      </c>
      <c r="AE54" s="19">
        <f t="shared" si="17"/>
        <v>0</v>
      </c>
      <c r="AF54" s="38">
        <f>'Setoran 2'!L54</f>
        <v>0</v>
      </c>
      <c r="AG54" s="19">
        <f t="shared" si="18"/>
        <v>0</v>
      </c>
      <c r="AH54" s="19">
        <f t="shared" si="19"/>
        <v>0</v>
      </c>
      <c r="AI54" s="38">
        <f>'Setoran 2'!M54</f>
        <v>0</v>
      </c>
      <c r="AJ54" s="19">
        <f t="shared" si="20"/>
        <v>0</v>
      </c>
      <c r="AK54" s="19">
        <f t="shared" si="21"/>
        <v>0</v>
      </c>
      <c r="AL54" s="38">
        <f>'Setoran 2'!N54</f>
        <v>0</v>
      </c>
      <c r="AM54" s="19">
        <f t="shared" si="22"/>
        <v>0</v>
      </c>
      <c r="AN54" s="19">
        <f t="shared" si="23"/>
        <v>0</v>
      </c>
      <c r="AO54" s="38">
        <f>'Setoran 2'!O54</f>
        <v>0</v>
      </c>
      <c r="AP54" s="19">
        <f t="shared" si="24"/>
        <v>0</v>
      </c>
      <c r="AQ54" s="19">
        <f t="shared" si="25"/>
        <v>0</v>
      </c>
      <c r="AR54" s="38">
        <f>'Setoran 2'!P54</f>
        <v>0</v>
      </c>
      <c r="AS54" s="19">
        <f t="shared" si="26"/>
        <v>0</v>
      </c>
      <c r="AT54" s="19">
        <f t="shared" si="27"/>
        <v>0</v>
      </c>
      <c r="AU54" s="38">
        <f>'Setoran 2'!Q54</f>
        <v>0</v>
      </c>
      <c r="AV54" s="19">
        <f t="shared" si="28"/>
        <v>0</v>
      </c>
      <c r="AW54" s="19">
        <f t="shared" si="29"/>
        <v>0</v>
      </c>
      <c r="AX54" s="39">
        <f t="shared" si="30"/>
        <v>0</v>
      </c>
      <c r="AY54" s="38">
        <f t="shared" si="31"/>
        <v>0</v>
      </c>
      <c r="AZ54" s="21">
        <f t="shared" si="32"/>
        <v>0</v>
      </c>
      <c r="BA54" s="22">
        <f t="shared" si="33"/>
        <v>0</v>
      </c>
    </row>
    <row r="55" spans="1:53" ht="14.5" customHeight="1" x14ac:dyDescent="0.2">
      <c r="A55" s="71">
        <v>5</v>
      </c>
      <c r="B55" s="53" t="s">
        <v>97</v>
      </c>
      <c r="C55" s="57">
        <f>'Data '!C51</f>
        <v>4500</v>
      </c>
      <c r="D55" s="57">
        <f>'Data '!D51</f>
        <v>5000</v>
      </c>
      <c r="E55" s="39">
        <f>'Setoran 2'!C55</f>
        <v>0</v>
      </c>
      <c r="F55" s="19">
        <f t="shared" si="0"/>
        <v>0</v>
      </c>
      <c r="G55" s="19">
        <f t="shared" si="1"/>
        <v>0</v>
      </c>
      <c r="H55" s="39">
        <f>'Setoran 2'!D55</f>
        <v>0</v>
      </c>
      <c r="I55" s="19">
        <f t="shared" si="2"/>
        <v>0</v>
      </c>
      <c r="J55" s="19">
        <f t="shared" si="3"/>
        <v>0</v>
      </c>
      <c r="K55" s="39">
        <f>'Setoran 2'!E55</f>
        <v>0</v>
      </c>
      <c r="L55" s="19">
        <f t="shared" si="4"/>
        <v>0</v>
      </c>
      <c r="M55" s="19">
        <f t="shared" si="5"/>
        <v>0</v>
      </c>
      <c r="N55" s="39">
        <f>'Setoran 2'!F55</f>
        <v>0</v>
      </c>
      <c r="O55" s="19">
        <f t="shared" si="6"/>
        <v>0</v>
      </c>
      <c r="P55" s="19">
        <f t="shared" si="7"/>
        <v>0</v>
      </c>
      <c r="Q55" s="39">
        <f>'Setoran 2'!G55</f>
        <v>0</v>
      </c>
      <c r="R55" s="19">
        <f t="shared" si="8"/>
        <v>0</v>
      </c>
      <c r="S55" s="19">
        <f t="shared" si="9"/>
        <v>0</v>
      </c>
      <c r="T55" s="39">
        <f>'Setoran 2'!H55</f>
        <v>0</v>
      </c>
      <c r="U55" s="19">
        <f t="shared" si="10"/>
        <v>0</v>
      </c>
      <c r="V55" s="19">
        <f t="shared" si="11"/>
        <v>0</v>
      </c>
      <c r="W55" s="39">
        <f>'Setoran 2'!I55</f>
        <v>0</v>
      </c>
      <c r="X55" s="19">
        <f t="shared" si="12"/>
        <v>0</v>
      </c>
      <c r="Y55" s="19">
        <f t="shared" si="13"/>
        <v>0</v>
      </c>
      <c r="Z55" s="39">
        <f>'Setoran 2'!J55</f>
        <v>0</v>
      </c>
      <c r="AA55" s="19">
        <f t="shared" si="14"/>
        <v>0</v>
      </c>
      <c r="AB55" s="19">
        <f t="shared" si="15"/>
        <v>0</v>
      </c>
      <c r="AC55" s="39">
        <f>'Setoran 2'!K55</f>
        <v>0</v>
      </c>
      <c r="AD55" s="19">
        <f t="shared" si="16"/>
        <v>0</v>
      </c>
      <c r="AE55" s="19">
        <f t="shared" si="17"/>
        <v>0</v>
      </c>
      <c r="AF55" s="38">
        <f>'Setoran 2'!L55</f>
        <v>0</v>
      </c>
      <c r="AG55" s="19">
        <f t="shared" si="18"/>
        <v>0</v>
      </c>
      <c r="AH55" s="19">
        <f t="shared" si="19"/>
        <v>0</v>
      </c>
      <c r="AI55" s="38">
        <f>'Setoran 2'!M55</f>
        <v>0</v>
      </c>
      <c r="AJ55" s="19">
        <f t="shared" si="20"/>
        <v>0</v>
      </c>
      <c r="AK55" s="19">
        <f t="shared" si="21"/>
        <v>0</v>
      </c>
      <c r="AL55" s="38">
        <f>'Setoran 2'!N55</f>
        <v>0</v>
      </c>
      <c r="AM55" s="19">
        <f t="shared" si="22"/>
        <v>0</v>
      </c>
      <c r="AN55" s="19">
        <f t="shared" si="23"/>
        <v>0</v>
      </c>
      <c r="AO55" s="38">
        <f>'Setoran 2'!O55</f>
        <v>0</v>
      </c>
      <c r="AP55" s="19">
        <f t="shared" si="24"/>
        <v>0</v>
      </c>
      <c r="AQ55" s="19">
        <f t="shared" si="25"/>
        <v>0</v>
      </c>
      <c r="AR55" s="38">
        <f>'Setoran 2'!P55</f>
        <v>0</v>
      </c>
      <c r="AS55" s="19">
        <f t="shared" si="26"/>
        <v>0</v>
      </c>
      <c r="AT55" s="19">
        <f t="shared" si="27"/>
        <v>0</v>
      </c>
      <c r="AU55" s="38">
        <f>'Setoran 2'!Q55</f>
        <v>0</v>
      </c>
      <c r="AV55" s="19">
        <f t="shared" si="28"/>
        <v>0</v>
      </c>
      <c r="AW55" s="19">
        <f t="shared" si="29"/>
        <v>0</v>
      </c>
      <c r="AX55" s="39">
        <f t="shared" si="30"/>
        <v>0</v>
      </c>
      <c r="AY55" s="38">
        <f t="shared" si="31"/>
        <v>0</v>
      </c>
      <c r="AZ55" s="21">
        <f t="shared" si="32"/>
        <v>0</v>
      </c>
      <c r="BA55" s="22">
        <f t="shared" si="33"/>
        <v>0</v>
      </c>
    </row>
    <row r="56" spans="1:53" ht="14.5" customHeight="1" x14ac:dyDescent="0.2">
      <c r="A56" s="71">
        <v>6</v>
      </c>
      <c r="B56" s="53" t="s">
        <v>39</v>
      </c>
      <c r="C56" s="57">
        <f>'Data '!C52</f>
        <v>6500</v>
      </c>
      <c r="D56" s="57">
        <f>'Data '!D52</f>
        <v>7000</v>
      </c>
      <c r="E56" s="39">
        <f>'Setoran 2'!C56</f>
        <v>0</v>
      </c>
      <c r="F56" s="19">
        <f t="shared" si="0"/>
        <v>0</v>
      </c>
      <c r="G56" s="19">
        <f t="shared" si="1"/>
        <v>0</v>
      </c>
      <c r="H56" s="39">
        <f>'Setoran 2'!D56</f>
        <v>0</v>
      </c>
      <c r="I56" s="19">
        <f t="shared" si="2"/>
        <v>0</v>
      </c>
      <c r="J56" s="19">
        <f t="shared" si="3"/>
        <v>0</v>
      </c>
      <c r="K56" s="39">
        <f>'Setoran 2'!E56</f>
        <v>0</v>
      </c>
      <c r="L56" s="19">
        <f t="shared" si="4"/>
        <v>0</v>
      </c>
      <c r="M56" s="19">
        <f t="shared" si="5"/>
        <v>0</v>
      </c>
      <c r="N56" s="39">
        <f>'Setoran 2'!F56</f>
        <v>0</v>
      </c>
      <c r="O56" s="19">
        <f t="shared" si="6"/>
        <v>0</v>
      </c>
      <c r="P56" s="19">
        <f t="shared" si="7"/>
        <v>0</v>
      </c>
      <c r="Q56" s="39">
        <f>'Setoran 2'!G56</f>
        <v>0</v>
      </c>
      <c r="R56" s="19">
        <f t="shared" si="8"/>
        <v>0</v>
      </c>
      <c r="S56" s="19">
        <f t="shared" si="9"/>
        <v>0</v>
      </c>
      <c r="T56" s="39">
        <f>'Setoran 2'!H56</f>
        <v>0</v>
      </c>
      <c r="U56" s="19">
        <f t="shared" si="10"/>
        <v>0</v>
      </c>
      <c r="V56" s="19">
        <f t="shared" si="11"/>
        <v>0</v>
      </c>
      <c r="W56" s="39">
        <f>'Setoran 2'!I56</f>
        <v>0</v>
      </c>
      <c r="X56" s="19">
        <f t="shared" si="12"/>
        <v>0</v>
      </c>
      <c r="Y56" s="19">
        <f t="shared" si="13"/>
        <v>0</v>
      </c>
      <c r="Z56" s="39">
        <f>'Setoran 2'!J56</f>
        <v>0</v>
      </c>
      <c r="AA56" s="19">
        <f t="shared" si="14"/>
        <v>0</v>
      </c>
      <c r="AB56" s="19">
        <f t="shared" si="15"/>
        <v>0</v>
      </c>
      <c r="AC56" s="39">
        <f>'Setoran 2'!K56</f>
        <v>0</v>
      </c>
      <c r="AD56" s="19">
        <f t="shared" si="16"/>
        <v>0</v>
      </c>
      <c r="AE56" s="19">
        <f t="shared" si="17"/>
        <v>0</v>
      </c>
      <c r="AF56" s="38">
        <f>'Setoran 2'!L56</f>
        <v>0</v>
      </c>
      <c r="AG56" s="19">
        <f t="shared" si="18"/>
        <v>0</v>
      </c>
      <c r="AH56" s="19">
        <f t="shared" si="19"/>
        <v>0</v>
      </c>
      <c r="AI56" s="38">
        <f>'Setoran 2'!M56</f>
        <v>0</v>
      </c>
      <c r="AJ56" s="19">
        <f t="shared" si="20"/>
        <v>0</v>
      </c>
      <c r="AK56" s="19">
        <f t="shared" si="21"/>
        <v>0</v>
      </c>
      <c r="AL56" s="38">
        <f>'Setoran 2'!N56</f>
        <v>0</v>
      </c>
      <c r="AM56" s="19">
        <f t="shared" si="22"/>
        <v>0</v>
      </c>
      <c r="AN56" s="19">
        <f t="shared" si="23"/>
        <v>0</v>
      </c>
      <c r="AO56" s="38">
        <f>'Setoran 2'!O56</f>
        <v>0</v>
      </c>
      <c r="AP56" s="19">
        <f t="shared" si="24"/>
        <v>0</v>
      </c>
      <c r="AQ56" s="19">
        <f t="shared" si="25"/>
        <v>0</v>
      </c>
      <c r="AR56" s="38">
        <f>'Setoran 2'!P56</f>
        <v>0</v>
      </c>
      <c r="AS56" s="19">
        <f t="shared" si="26"/>
        <v>0</v>
      </c>
      <c r="AT56" s="19">
        <f t="shared" si="27"/>
        <v>0</v>
      </c>
      <c r="AU56" s="38">
        <f>'Setoran 2'!Q56</f>
        <v>0</v>
      </c>
      <c r="AV56" s="19">
        <f t="shared" si="28"/>
        <v>0</v>
      </c>
      <c r="AW56" s="19">
        <f t="shared" si="29"/>
        <v>0</v>
      </c>
      <c r="AX56" s="39">
        <f t="shared" si="30"/>
        <v>0</v>
      </c>
      <c r="AY56" s="38">
        <f t="shared" si="31"/>
        <v>0</v>
      </c>
      <c r="AZ56" s="21">
        <f t="shared" si="32"/>
        <v>0</v>
      </c>
      <c r="BA56" s="22">
        <f t="shared" si="33"/>
        <v>0</v>
      </c>
    </row>
    <row r="57" spans="1:53" ht="14.5" customHeight="1" x14ac:dyDescent="0.2">
      <c r="A57" s="71">
        <v>7</v>
      </c>
      <c r="B57" s="53" t="s">
        <v>40</v>
      </c>
      <c r="C57" s="57">
        <f>'Data '!C53</f>
        <v>28000</v>
      </c>
      <c r="D57" s="57">
        <f>'Data '!D53</f>
        <v>30000</v>
      </c>
      <c r="E57" s="39">
        <f>'Setoran 2'!C57</f>
        <v>0</v>
      </c>
      <c r="F57" s="19">
        <f t="shared" si="0"/>
        <v>0</v>
      </c>
      <c r="G57" s="19">
        <f t="shared" si="1"/>
        <v>0</v>
      </c>
      <c r="H57" s="39">
        <f>'Setoran 2'!D57</f>
        <v>0</v>
      </c>
      <c r="I57" s="19">
        <f t="shared" si="2"/>
        <v>0</v>
      </c>
      <c r="J57" s="19">
        <f t="shared" si="3"/>
        <v>0</v>
      </c>
      <c r="K57" s="39">
        <f>'Setoran 2'!E57</f>
        <v>0</v>
      </c>
      <c r="L57" s="19">
        <f t="shared" si="4"/>
        <v>0</v>
      </c>
      <c r="M57" s="19">
        <f t="shared" si="5"/>
        <v>0</v>
      </c>
      <c r="N57" s="39">
        <f>'Setoran 2'!F57</f>
        <v>0</v>
      </c>
      <c r="O57" s="19">
        <f t="shared" si="6"/>
        <v>0</v>
      </c>
      <c r="P57" s="19">
        <f t="shared" si="7"/>
        <v>0</v>
      </c>
      <c r="Q57" s="39">
        <f>'Setoran 2'!G57</f>
        <v>0</v>
      </c>
      <c r="R57" s="19">
        <f t="shared" si="8"/>
        <v>0</v>
      </c>
      <c r="S57" s="19">
        <f t="shared" si="9"/>
        <v>0</v>
      </c>
      <c r="T57" s="39">
        <f>'Setoran 2'!H57</f>
        <v>0</v>
      </c>
      <c r="U57" s="19">
        <f t="shared" si="10"/>
        <v>0</v>
      </c>
      <c r="V57" s="19">
        <f t="shared" si="11"/>
        <v>0</v>
      </c>
      <c r="W57" s="39">
        <f>'Setoran 2'!I57</f>
        <v>0</v>
      </c>
      <c r="X57" s="19">
        <f t="shared" si="12"/>
        <v>0</v>
      </c>
      <c r="Y57" s="19">
        <f t="shared" si="13"/>
        <v>0</v>
      </c>
      <c r="Z57" s="39">
        <f>'Setoran 2'!J57</f>
        <v>0</v>
      </c>
      <c r="AA57" s="19">
        <f t="shared" si="14"/>
        <v>0</v>
      </c>
      <c r="AB57" s="19">
        <f t="shared" si="15"/>
        <v>0</v>
      </c>
      <c r="AC57" s="39">
        <f>'Setoran 2'!K57</f>
        <v>0</v>
      </c>
      <c r="AD57" s="19">
        <f t="shared" si="16"/>
        <v>0</v>
      </c>
      <c r="AE57" s="19">
        <f t="shared" si="17"/>
        <v>0</v>
      </c>
      <c r="AF57" s="38">
        <f>'Setoran 2'!L57</f>
        <v>0</v>
      </c>
      <c r="AG57" s="19">
        <f t="shared" si="18"/>
        <v>0</v>
      </c>
      <c r="AH57" s="19">
        <f t="shared" si="19"/>
        <v>0</v>
      </c>
      <c r="AI57" s="38">
        <f>'Setoran 2'!M57</f>
        <v>0</v>
      </c>
      <c r="AJ57" s="19">
        <f t="shared" si="20"/>
        <v>0</v>
      </c>
      <c r="AK57" s="19">
        <f t="shared" si="21"/>
        <v>0</v>
      </c>
      <c r="AL57" s="38">
        <f>'Setoran 2'!N57</f>
        <v>0</v>
      </c>
      <c r="AM57" s="19">
        <f t="shared" si="22"/>
        <v>0</v>
      </c>
      <c r="AN57" s="19">
        <f t="shared" si="23"/>
        <v>0</v>
      </c>
      <c r="AO57" s="38">
        <f>'Setoran 2'!O57</f>
        <v>0</v>
      </c>
      <c r="AP57" s="19">
        <f t="shared" si="24"/>
        <v>0</v>
      </c>
      <c r="AQ57" s="19">
        <f t="shared" si="25"/>
        <v>0</v>
      </c>
      <c r="AR57" s="38">
        <f>'Setoran 2'!P57</f>
        <v>0</v>
      </c>
      <c r="AS57" s="19">
        <f t="shared" si="26"/>
        <v>0</v>
      </c>
      <c r="AT57" s="19">
        <f t="shared" si="27"/>
        <v>0</v>
      </c>
      <c r="AU57" s="38">
        <f>'Setoran 2'!Q57</f>
        <v>0</v>
      </c>
      <c r="AV57" s="19">
        <f t="shared" si="28"/>
        <v>0</v>
      </c>
      <c r="AW57" s="19">
        <f t="shared" si="29"/>
        <v>0</v>
      </c>
      <c r="AX57" s="39">
        <f t="shared" si="30"/>
        <v>0</v>
      </c>
      <c r="AY57" s="38">
        <f t="shared" si="31"/>
        <v>0</v>
      </c>
      <c r="AZ57" s="21">
        <f t="shared" si="32"/>
        <v>0</v>
      </c>
      <c r="BA57" s="22">
        <f t="shared" si="33"/>
        <v>0</v>
      </c>
    </row>
    <row r="58" spans="1:53" ht="14.5" customHeight="1" x14ac:dyDescent="0.2">
      <c r="A58" s="71">
        <v>8</v>
      </c>
      <c r="B58" s="53" t="s">
        <v>41</v>
      </c>
      <c r="C58" s="57">
        <f>'Data '!C54</f>
        <v>0</v>
      </c>
      <c r="D58" s="57">
        <f>'Data '!D54</f>
        <v>0</v>
      </c>
      <c r="E58" s="39">
        <f>'Setoran 2'!C58</f>
        <v>0</v>
      </c>
      <c r="F58" s="19">
        <f t="shared" si="0"/>
        <v>0</v>
      </c>
      <c r="G58" s="19">
        <f t="shared" si="1"/>
        <v>0</v>
      </c>
      <c r="H58" s="39">
        <f>'Setoran 2'!D58</f>
        <v>0</v>
      </c>
      <c r="I58" s="19">
        <f t="shared" si="2"/>
        <v>0</v>
      </c>
      <c r="J58" s="19">
        <f t="shared" si="3"/>
        <v>0</v>
      </c>
      <c r="K58" s="39">
        <f>'Setoran 2'!E58</f>
        <v>0</v>
      </c>
      <c r="L58" s="19">
        <f t="shared" si="4"/>
        <v>0</v>
      </c>
      <c r="M58" s="19">
        <f t="shared" si="5"/>
        <v>0</v>
      </c>
      <c r="N58" s="39">
        <f>'Setoran 2'!F58</f>
        <v>0</v>
      </c>
      <c r="O58" s="19">
        <f t="shared" si="6"/>
        <v>0</v>
      </c>
      <c r="P58" s="19">
        <f t="shared" si="7"/>
        <v>0</v>
      </c>
      <c r="Q58" s="39">
        <f>'Setoran 2'!G58</f>
        <v>0</v>
      </c>
      <c r="R58" s="19">
        <f t="shared" si="8"/>
        <v>0</v>
      </c>
      <c r="S58" s="19">
        <f t="shared" si="9"/>
        <v>0</v>
      </c>
      <c r="T58" s="39">
        <f>'Setoran 2'!H58</f>
        <v>0</v>
      </c>
      <c r="U58" s="19">
        <f t="shared" si="10"/>
        <v>0</v>
      </c>
      <c r="V58" s="19">
        <f t="shared" si="11"/>
        <v>0</v>
      </c>
      <c r="W58" s="39">
        <f>'Setoran 2'!I58</f>
        <v>0</v>
      </c>
      <c r="X58" s="19">
        <f t="shared" si="12"/>
        <v>0</v>
      </c>
      <c r="Y58" s="19">
        <f t="shared" si="13"/>
        <v>0</v>
      </c>
      <c r="Z58" s="39">
        <f>'Setoran 2'!J58</f>
        <v>0</v>
      </c>
      <c r="AA58" s="19">
        <f t="shared" si="14"/>
        <v>0</v>
      </c>
      <c r="AB58" s="19">
        <f t="shared" si="15"/>
        <v>0</v>
      </c>
      <c r="AC58" s="39">
        <f>'Setoran 2'!K58</f>
        <v>0</v>
      </c>
      <c r="AD58" s="19">
        <f t="shared" si="16"/>
        <v>0</v>
      </c>
      <c r="AE58" s="19">
        <f t="shared" si="17"/>
        <v>0</v>
      </c>
      <c r="AF58" s="38">
        <f>'Setoran 2'!L58</f>
        <v>0</v>
      </c>
      <c r="AG58" s="19">
        <f t="shared" si="18"/>
        <v>0</v>
      </c>
      <c r="AH58" s="19">
        <f t="shared" si="19"/>
        <v>0</v>
      </c>
      <c r="AI58" s="38">
        <f>'Setoran 2'!M58</f>
        <v>0</v>
      </c>
      <c r="AJ58" s="19">
        <f t="shared" si="20"/>
        <v>0</v>
      </c>
      <c r="AK58" s="19">
        <f t="shared" si="21"/>
        <v>0</v>
      </c>
      <c r="AL58" s="38">
        <f>'Setoran 2'!N58</f>
        <v>0</v>
      </c>
      <c r="AM58" s="19">
        <f t="shared" si="22"/>
        <v>0</v>
      </c>
      <c r="AN58" s="19">
        <f t="shared" si="23"/>
        <v>0</v>
      </c>
      <c r="AO58" s="38">
        <f>'Setoran 2'!O58</f>
        <v>0</v>
      </c>
      <c r="AP58" s="19">
        <f t="shared" si="24"/>
        <v>0</v>
      </c>
      <c r="AQ58" s="19">
        <f t="shared" si="25"/>
        <v>0</v>
      </c>
      <c r="AR58" s="38">
        <f>'Setoran 2'!P58</f>
        <v>0</v>
      </c>
      <c r="AS58" s="19">
        <f t="shared" si="26"/>
        <v>0</v>
      </c>
      <c r="AT58" s="19">
        <f t="shared" si="27"/>
        <v>0</v>
      </c>
      <c r="AU58" s="38">
        <f>'Setoran 2'!Q58</f>
        <v>0</v>
      </c>
      <c r="AV58" s="19">
        <f t="shared" si="28"/>
        <v>0</v>
      </c>
      <c r="AW58" s="19">
        <f t="shared" si="29"/>
        <v>0</v>
      </c>
      <c r="AX58" s="39">
        <f t="shared" si="30"/>
        <v>0</v>
      </c>
      <c r="AY58" s="38">
        <f t="shared" si="31"/>
        <v>0</v>
      </c>
      <c r="AZ58" s="21">
        <f t="shared" si="32"/>
        <v>0</v>
      </c>
      <c r="BA58" s="22">
        <f t="shared" si="33"/>
        <v>0</v>
      </c>
    </row>
    <row r="59" spans="1:53" ht="14.5" customHeight="1" x14ac:dyDescent="0.2">
      <c r="A59" s="51" t="s">
        <v>42</v>
      </c>
      <c r="B59" s="5"/>
      <c r="C59" s="40"/>
      <c r="D59" s="42"/>
      <c r="E59" s="39"/>
      <c r="F59" s="19"/>
      <c r="G59" s="19"/>
      <c r="H59" s="39"/>
      <c r="I59" s="19"/>
      <c r="J59" s="19"/>
      <c r="K59" s="39"/>
      <c r="L59" s="19"/>
      <c r="M59" s="19"/>
      <c r="N59" s="39"/>
      <c r="O59" s="19"/>
      <c r="P59" s="19"/>
      <c r="Q59" s="39"/>
      <c r="R59" s="19"/>
      <c r="S59" s="19"/>
      <c r="T59" s="39"/>
      <c r="U59" s="19"/>
      <c r="V59" s="19"/>
      <c r="W59" s="39"/>
      <c r="X59" s="19"/>
      <c r="Y59" s="19"/>
      <c r="Z59" s="39"/>
      <c r="AA59" s="19"/>
      <c r="AB59" s="19"/>
      <c r="AC59" s="39"/>
      <c r="AD59" s="19"/>
      <c r="AE59" s="19"/>
      <c r="AF59" s="38"/>
      <c r="AG59" s="19"/>
      <c r="AH59" s="19"/>
      <c r="AI59" s="38"/>
      <c r="AJ59" s="19"/>
      <c r="AK59" s="19"/>
      <c r="AL59" s="38"/>
      <c r="AM59" s="19"/>
      <c r="AN59" s="19"/>
      <c r="AO59" s="38"/>
      <c r="AP59" s="19"/>
      <c r="AQ59" s="19"/>
      <c r="AR59" s="38"/>
      <c r="AS59" s="19"/>
      <c r="AT59" s="19"/>
      <c r="AU59" s="38"/>
      <c r="AV59" s="19"/>
      <c r="AW59" s="19"/>
      <c r="AX59" s="39"/>
      <c r="AY59" s="38"/>
      <c r="AZ59" s="21"/>
      <c r="BA59" s="22"/>
    </row>
    <row r="60" spans="1:53" ht="14.5" customHeight="1" x14ac:dyDescent="0.2">
      <c r="A60" s="23">
        <v>1</v>
      </c>
      <c r="B60" s="25" t="s">
        <v>43</v>
      </c>
      <c r="C60" s="57">
        <f>'Data '!C56</f>
        <v>700</v>
      </c>
      <c r="D60" s="57">
        <f>'Data '!D56</f>
        <v>800</v>
      </c>
      <c r="E60" s="39">
        <f>'Setoran 2'!C60</f>
        <v>0</v>
      </c>
      <c r="F60" s="19">
        <f t="shared" si="0"/>
        <v>0</v>
      </c>
      <c r="G60" s="19">
        <f t="shared" si="1"/>
        <v>0</v>
      </c>
      <c r="H60" s="39">
        <f>'Setoran 2'!D60</f>
        <v>0</v>
      </c>
      <c r="I60" s="19">
        <f t="shared" si="2"/>
        <v>0</v>
      </c>
      <c r="J60" s="19">
        <f t="shared" si="3"/>
        <v>0</v>
      </c>
      <c r="K60" s="39">
        <f>'Setoran 2'!E60</f>
        <v>0</v>
      </c>
      <c r="L60" s="19">
        <f t="shared" si="4"/>
        <v>0</v>
      </c>
      <c r="M60" s="19">
        <f t="shared" si="5"/>
        <v>0</v>
      </c>
      <c r="N60" s="39">
        <f>'Setoran 2'!F60</f>
        <v>0</v>
      </c>
      <c r="O60" s="19">
        <f t="shared" si="6"/>
        <v>0</v>
      </c>
      <c r="P60" s="19">
        <f t="shared" si="7"/>
        <v>0</v>
      </c>
      <c r="Q60" s="39">
        <f>'Setoran 2'!G60</f>
        <v>0</v>
      </c>
      <c r="R60" s="19">
        <f t="shared" si="8"/>
        <v>0</v>
      </c>
      <c r="S60" s="19">
        <f t="shared" si="9"/>
        <v>0</v>
      </c>
      <c r="T60" s="39">
        <f>'Setoran 2'!H60</f>
        <v>0</v>
      </c>
      <c r="U60" s="19">
        <f t="shared" si="10"/>
        <v>0</v>
      </c>
      <c r="V60" s="19">
        <f t="shared" si="11"/>
        <v>0</v>
      </c>
      <c r="W60" s="39">
        <f>'Setoran 2'!I60</f>
        <v>0</v>
      </c>
      <c r="X60" s="19">
        <f t="shared" si="12"/>
        <v>0</v>
      </c>
      <c r="Y60" s="19">
        <f t="shared" si="13"/>
        <v>0</v>
      </c>
      <c r="Z60" s="39">
        <f>'Setoran 2'!J60</f>
        <v>0</v>
      </c>
      <c r="AA60" s="19">
        <f t="shared" si="14"/>
        <v>0</v>
      </c>
      <c r="AB60" s="19">
        <f t="shared" si="15"/>
        <v>0</v>
      </c>
      <c r="AC60" s="39">
        <f>'Setoran 2'!K60</f>
        <v>0</v>
      </c>
      <c r="AD60" s="19">
        <f t="shared" si="16"/>
        <v>0</v>
      </c>
      <c r="AE60" s="19">
        <f t="shared" si="17"/>
        <v>0</v>
      </c>
      <c r="AF60" s="38">
        <f>'Setoran 2'!L60</f>
        <v>0</v>
      </c>
      <c r="AG60" s="19">
        <f t="shared" si="18"/>
        <v>0</v>
      </c>
      <c r="AH60" s="19">
        <f t="shared" si="19"/>
        <v>0</v>
      </c>
      <c r="AI60" s="38">
        <f>'Setoran 2'!M60</f>
        <v>0</v>
      </c>
      <c r="AJ60" s="19">
        <f t="shared" si="20"/>
        <v>0</v>
      </c>
      <c r="AK60" s="19">
        <f t="shared" si="21"/>
        <v>0</v>
      </c>
      <c r="AL60" s="38">
        <f>'Setoran 2'!N60</f>
        <v>0</v>
      </c>
      <c r="AM60" s="19">
        <f t="shared" si="22"/>
        <v>0</v>
      </c>
      <c r="AN60" s="19">
        <f t="shared" si="23"/>
        <v>0</v>
      </c>
      <c r="AO60" s="38">
        <f>'Setoran 2'!O60</f>
        <v>0</v>
      </c>
      <c r="AP60" s="19">
        <f t="shared" si="24"/>
        <v>0</v>
      </c>
      <c r="AQ60" s="19">
        <f t="shared" si="25"/>
        <v>0</v>
      </c>
      <c r="AR60" s="38">
        <f>'Setoran 2'!P60</f>
        <v>0</v>
      </c>
      <c r="AS60" s="19">
        <f t="shared" si="26"/>
        <v>0</v>
      </c>
      <c r="AT60" s="19">
        <f t="shared" si="27"/>
        <v>0</v>
      </c>
      <c r="AU60" s="38">
        <f>'Setoran 2'!Q60</f>
        <v>0</v>
      </c>
      <c r="AV60" s="19">
        <f t="shared" si="28"/>
        <v>0</v>
      </c>
      <c r="AW60" s="19">
        <f t="shared" si="29"/>
        <v>0</v>
      </c>
      <c r="AX60" s="39">
        <f t="shared" si="30"/>
        <v>0</v>
      </c>
      <c r="AY60" s="38">
        <f t="shared" si="31"/>
        <v>0</v>
      </c>
      <c r="AZ60" s="21">
        <f t="shared" si="32"/>
        <v>0</v>
      </c>
      <c r="BA60" s="22">
        <f t="shared" si="33"/>
        <v>0</v>
      </c>
    </row>
    <row r="61" spans="1:53" ht="14.5" customHeight="1" x14ac:dyDescent="0.2">
      <c r="A61" s="23">
        <v>2</v>
      </c>
      <c r="B61" s="25" t="s">
        <v>44</v>
      </c>
      <c r="C61" s="57">
        <f>'Data '!C57</f>
        <v>150</v>
      </c>
      <c r="D61" s="57">
        <f>'Data '!D57</f>
        <v>200</v>
      </c>
      <c r="E61" s="39">
        <f>'Setoran 2'!C61</f>
        <v>0</v>
      </c>
      <c r="F61" s="19">
        <f t="shared" si="0"/>
        <v>0</v>
      </c>
      <c r="G61" s="19">
        <f t="shared" si="1"/>
        <v>0</v>
      </c>
      <c r="H61" s="39">
        <f>'Setoran 2'!D61</f>
        <v>0</v>
      </c>
      <c r="I61" s="19">
        <f t="shared" si="2"/>
        <v>0</v>
      </c>
      <c r="J61" s="19">
        <f t="shared" si="3"/>
        <v>0</v>
      </c>
      <c r="K61" s="39">
        <f>'Setoran 2'!E61</f>
        <v>0</v>
      </c>
      <c r="L61" s="19">
        <f t="shared" si="4"/>
        <v>0</v>
      </c>
      <c r="M61" s="19">
        <f t="shared" si="5"/>
        <v>0</v>
      </c>
      <c r="N61" s="39">
        <f>'Setoran 2'!F61</f>
        <v>0</v>
      </c>
      <c r="O61" s="19">
        <f t="shared" si="6"/>
        <v>0</v>
      </c>
      <c r="P61" s="19">
        <f t="shared" si="7"/>
        <v>0</v>
      </c>
      <c r="Q61" s="39">
        <f>'Setoran 2'!G61</f>
        <v>0</v>
      </c>
      <c r="R61" s="19">
        <f t="shared" si="8"/>
        <v>0</v>
      </c>
      <c r="S61" s="19">
        <f t="shared" si="9"/>
        <v>0</v>
      </c>
      <c r="T61" s="39">
        <f>'Setoran 2'!H61</f>
        <v>0</v>
      </c>
      <c r="U61" s="19">
        <f t="shared" si="10"/>
        <v>0</v>
      </c>
      <c r="V61" s="19">
        <f t="shared" si="11"/>
        <v>0</v>
      </c>
      <c r="W61" s="39">
        <f>'Setoran 2'!I61</f>
        <v>0</v>
      </c>
      <c r="X61" s="19">
        <f t="shared" si="12"/>
        <v>0</v>
      </c>
      <c r="Y61" s="19">
        <f t="shared" si="13"/>
        <v>0</v>
      </c>
      <c r="Z61" s="39">
        <f>'Setoran 2'!J61</f>
        <v>0</v>
      </c>
      <c r="AA61" s="19">
        <f t="shared" si="14"/>
        <v>0</v>
      </c>
      <c r="AB61" s="19">
        <f t="shared" si="15"/>
        <v>0</v>
      </c>
      <c r="AC61" s="39">
        <f>'Setoran 2'!K61</f>
        <v>0</v>
      </c>
      <c r="AD61" s="19">
        <f t="shared" si="16"/>
        <v>0</v>
      </c>
      <c r="AE61" s="19">
        <f t="shared" si="17"/>
        <v>0</v>
      </c>
      <c r="AF61" s="38">
        <f>'Setoran 2'!L61</f>
        <v>0</v>
      </c>
      <c r="AG61" s="19">
        <f t="shared" si="18"/>
        <v>0</v>
      </c>
      <c r="AH61" s="19">
        <f t="shared" si="19"/>
        <v>0</v>
      </c>
      <c r="AI61" s="38">
        <f>'Setoran 2'!M61</f>
        <v>0</v>
      </c>
      <c r="AJ61" s="19">
        <f t="shared" si="20"/>
        <v>0</v>
      </c>
      <c r="AK61" s="19">
        <f t="shared" si="21"/>
        <v>0</v>
      </c>
      <c r="AL61" s="38">
        <f>'Setoran 2'!N61</f>
        <v>0</v>
      </c>
      <c r="AM61" s="19">
        <f t="shared" si="22"/>
        <v>0</v>
      </c>
      <c r="AN61" s="19">
        <f t="shared" si="23"/>
        <v>0</v>
      </c>
      <c r="AO61" s="38">
        <f>'Setoran 2'!O61</f>
        <v>0</v>
      </c>
      <c r="AP61" s="19">
        <f t="shared" si="24"/>
        <v>0</v>
      </c>
      <c r="AQ61" s="19">
        <f t="shared" si="25"/>
        <v>0</v>
      </c>
      <c r="AR61" s="38">
        <f>'Setoran 2'!P61</f>
        <v>0</v>
      </c>
      <c r="AS61" s="19">
        <f t="shared" si="26"/>
        <v>0</v>
      </c>
      <c r="AT61" s="19">
        <f t="shared" si="27"/>
        <v>0</v>
      </c>
      <c r="AU61" s="38">
        <f>'Setoran 2'!Q61</f>
        <v>0</v>
      </c>
      <c r="AV61" s="19">
        <f t="shared" si="28"/>
        <v>0</v>
      </c>
      <c r="AW61" s="19">
        <f t="shared" si="29"/>
        <v>0</v>
      </c>
      <c r="AX61" s="39">
        <f t="shared" si="30"/>
        <v>0</v>
      </c>
      <c r="AY61" s="38">
        <f t="shared" si="31"/>
        <v>0</v>
      </c>
      <c r="AZ61" s="21">
        <f t="shared" si="32"/>
        <v>0</v>
      </c>
      <c r="BA61" s="22">
        <f t="shared" si="33"/>
        <v>0</v>
      </c>
    </row>
    <row r="62" spans="1:53" ht="14.5" customHeight="1" x14ac:dyDescent="0.2">
      <c r="A62" s="23">
        <v>3</v>
      </c>
      <c r="B62" s="25" t="s">
        <v>45</v>
      </c>
      <c r="C62" s="57">
        <f>'Data '!C58</f>
        <v>50</v>
      </c>
      <c r="D62" s="57">
        <f>'Data '!D58</f>
        <v>100</v>
      </c>
      <c r="E62" s="39">
        <f>'Setoran 2'!C62</f>
        <v>0</v>
      </c>
      <c r="F62" s="19">
        <f t="shared" si="0"/>
        <v>0</v>
      </c>
      <c r="G62" s="19">
        <f t="shared" si="1"/>
        <v>0</v>
      </c>
      <c r="H62" s="39">
        <f>'Setoran 2'!D62</f>
        <v>0</v>
      </c>
      <c r="I62" s="19">
        <f t="shared" si="2"/>
        <v>0</v>
      </c>
      <c r="J62" s="19">
        <f t="shared" si="3"/>
        <v>0</v>
      </c>
      <c r="K62" s="39">
        <f>'Setoran 2'!E62</f>
        <v>0</v>
      </c>
      <c r="L62" s="19">
        <f t="shared" si="4"/>
        <v>0</v>
      </c>
      <c r="M62" s="19">
        <f t="shared" si="5"/>
        <v>0</v>
      </c>
      <c r="N62" s="39">
        <f>'Setoran 2'!F62</f>
        <v>0</v>
      </c>
      <c r="O62" s="19">
        <f t="shared" si="6"/>
        <v>0</v>
      </c>
      <c r="P62" s="19">
        <f t="shared" si="7"/>
        <v>0</v>
      </c>
      <c r="Q62" s="39">
        <f>'Setoran 2'!G62</f>
        <v>0</v>
      </c>
      <c r="R62" s="19">
        <f t="shared" si="8"/>
        <v>0</v>
      </c>
      <c r="S62" s="19">
        <f t="shared" si="9"/>
        <v>0</v>
      </c>
      <c r="T62" s="39">
        <f>'Setoran 2'!H62</f>
        <v>0</v>
      </c>
      <c r="U62" s="19">
        <f t="shared" si="10"/>
        <v>0</v>
      </c>
      <c r="V62" s="19">
        <f t="shared" si="11"/>
        <v>0</v>
      </c>
      <c r="W62" s="39">
        <f>'Setoran 2'!I62</f>
        <v>0</v>
      </c>
      <c r="X62" s="19">
        <f t="shared" si="12"/>
        <v>0</v>
      </c>
      <c r="Y62" s="19">
        <f t="shared" si="13"/>
        <v>0</v>
      </c>
      <c r="Z62" s="39">
        <f>'Setoran 2'!J62</f>
        <v>0</v>
      </c>
      <c r="AA62" s="19">
        <f t="shared" si="14"/>
        <v>0</v>
      </c>
      <c r="AB62" s="19">
        <f t="shared" si="15"/>
        <v>0</v>
      </c>
      <c r="AC62" s="39">
        <f>'Setoran 2'!K62</f>
        <v>0</v>
      </c>
      <c r="AD62" s="19">
        <f t="shared" si="16"/>
        <v>0</v>
      </c>
      <c r="AE62" s="19">
        <f t="shared" si="17"/>
        <v>0</v>
      </c>
      <c r="AF62" s="38">
        <f>'Setoran 2'!L62</f>
        <v>0</v>
      </c>
      <c r="AG62" s="19">
        <f t="shared" si="18"/>
        <v>0</v>
      </c>
      <c r="AH62" s="19">
        <f t="shared" si="19"/>
        <v>0</v>
      </c>
      <c r="AI62" s="38">
        <f>'Setoran 2'!M62</f>
        <v>0</v>
      </c>
      <c r="AJ62" s="19">
        <f t="shared" si="20"/>
        <v>0</v>
      </c>
      <c r="AK62" s="19">
        <f t="shared" si="21"/>
        <v>0</v>
      </c>
      <c r="AL62" s="38">
        <f>'Setoran 2'!N62</f>
        <v>0</v>
      </c>
      <c r="AM62" s="19">
        <f t="shared" si="22"/>
        <v>0</v>
      </c>
      <c r="AN62" s="19">
        <f t="shared" si="23"/>
        <v>0</v>
      </c>
      <c r="AO62" s="38">
        <f>'Setoran 2'!O62</f>
        <v>0</v>
      </c>
      <c r="AP62" s="19">
        <f t="shared" si="24"/>
        <v>0</v>
      </c>
      <c r="AQ62" s="19">
        <f t="shared" si="25"/>
        <v>0</v>
      </c>
      <c r="AR62" s="38">
        <f>'Setoran 2'!P62</f>
        <v>0</v>
      </c>
      <c r="AS62" s="19">
        <f t="shared" si="26"/>
        <v>0</v>
      </c>
      <c r="AT62" s="19">
        <f t="shared" si="27"/>
        <v>0</v>
      </c>
      <c r="AU62" s="38">
        <f>'Setoran 2'!Q62</f>
        <v>0</v>
      </c>
      <c r="AV62" s="19">
        <f t="shared" si="28"/>
        <v>0</v>
      </c>
      <c r="AW62" s="19">
        <f t="shared" si="29"/>
        <v>0</v>
      </c>
      <c r="AX62" s="39">
        <f t="shared" si="30"/>
        <v>0</v>
      </c>
      <c r="AY62" s="38">
        <f t="shared" si="31"/>
        <v>0</v>
      </c>
      <c r="AZ62" s="21">
        <f t="shared" si="32"/>
        <v>0</v>
      </c>
      <c r="BA62" s="22">
        <f t="shared" si="33"/>
        <v>0</v>
      </c>
    </row>
    <row r="63" spans="1:53" ht="14.5" customHeight="1" x14ac:dyDescent="0.2">
      <c r="A63" s="51" t="s">
        <v>46</v>
      </c>
      <c r="B63" s="5"/>
      <c r="C63" s="40"/>
      <c r="D63" s="42"/>
      <c r="E63" s="39"/>
      <c r="F63" s="19"/>
      <c r="G63" s="19"/>
      <c r="H63" s="39"/>
      <c r="I63" s="19"/>
      <c r="J63" s="19"/>
      <c r="K63" s="39"/>
      <c r="L63" s="19"/>
      <c r="M63" s="19"/>
      <c r="N63" s="39"/>
      <c r="O63" s="19"/>
      <c r="P63" s="19"/>
      <c r="Q63" s="39"/>
      <c r="R63" s="19"/>
      <c r="S63" s="19"/>
      <c r="T63" s="39"/>
      <c r="U63" s="19"/>
      <c r="V63" s="19"/>
      <c r="W63" s="39"/>
      <c r="X63" s="19"/>
      <c r="Y63" s="19"/>
      <c r="Z63" s="39"/>
      <c r="AA63" s="19"/>
      <c r="AB63" s="19"/>
      <c r="AC63" s="39"/>
      <c r="AD63" s="19"/>
      <c r="AE63" s="19"/>
      <c r="AF63" s="38"/>
      <c r="AG63" s="19"/>
      <c r="AH63" s="19"/>
      <c r="AI63" s="38"/>
      <c r="AJ63" s="19"/>
      <c r="AK63" s="19"/>
      <c r="AL63" s="38"/>
      <c r="AM63" s="19"/>
      <c r="AN63" s="19"/>
      <c r="AO63" s="38"/>
      <c r="AP63" s="19"/>
      <c r="AQ63" s="19"/>
      <c r="AR63" s="38"/>
      <c r="AS63" s="19"/>
      <c r="AT63" s="19"/>
      <c r="AU63" s="38"/>
      <c r="AV63" s="19"/>
      <c r="AW63" s="19"/>
      <c r="AX63" s="39"/>
      <c r="AY63" s="38"/>
      <c r="AZ63" s="21"/>
      <c r="BA63" s="22"/>
    </row>
    <row r="64" spans="1:53" ht="14.5" customHeight="1" x14ac:dyDescent="0.2">
      <c r="A64" s="71">
        <v>1</v>
      </c>
      <c r="B64" s="53" t="s">
        <v>100</v>
      </c>
      <c r="C64" s="57">
        <f>'Data '!C60</f>
        <v>150</v>
      </c>
      <c r="D64" s="57">
        <f>'Data '!D60</f>
        <v>200</v>
      </c>
      <c r="E64" s="39">
        <f>'Setoran 2'!C64</f>
        <v>0</v>
      </c>
      <c r="F64" s="19">
        <f t="shared" si="0"/>
        <v>0</v>
      </c>
      <c r="G64" s="19">
        <f t="shared" si="1"/>
        <v>0</v>
      </c>
      <c r="H64" s="39">
        <f>'Setoran 2'!D64</f>
        <v>0</v>
      </c>
      <c r="I64" s="19">
        <f t="shared" si="2"/>
        <v>0</v>
      </c>
      <c r="J64" s="19">
        <f t="shared" si="3"/>
        <v>0</v>
      </c>
      <c r="K64" s="39">
        <f>'Setoran 2'!E64</f>
        <v>0</v>
      </c>
      <c r="L64" s="19">
        <f t="shared" si="4"/>
        <v>0</v>
      </c>
      <c r="M64" s="19">
        <f t="shared" si="5"/>
        <v>0</v>
      </c>
      <c r="N64" s="39">
        <f>'Setoran 2'!F64</f>
        <v>0</v>
      </c>
      <c r="O64" s="19">
        <f t="shared" si="6"/>
        <v>0</v>
      </c>
      <c r="P64" s="19">
        <f t="shared" si="7"/>
        <v>0</v>
      </c>
      <c r="Q64" s="39">
        <f>'Setoran 2'!G64</f>
        <v>0</v>
      </c>
      <c r="R64" s="19">
        <f t="shared" si="8"/>
        <v>0</v>
      </c>
      <c r="S64" s="19">
        <f t="shared" si="9"/>
        <v>0</v>
      </c>
      <c r="T64" s="39">
        <f>'Setoran 2'!H64</f>
        <v>0</v>
      </c>
      <c r="U64" s="19">
        <f t="shared" si="10"/>
        <v>0</v>
      </c>
      <c r="V64" s="19">
        <f t="shared" si="11"/>
        <v>0</v>
      </c>
      <c r="W64" s="39">
        <f>'Setoran 2'!I64</f>
        <v>0</v>
      </c>
      <c r="X64" s="19">
        <f t="shared" si="12"/>
        <v>0</v>
      </c>
      <c r="Y64" s="19">
        <f t="shared" si="13"/>
        <v>0</v>
      </c>
      <c r="Z64" s="39">
        <f>'Setoran 2'!J64</f>
        <v>0</v>
      </c>
      <c r="AA64" s="19">
        <f t="shared" si="14"/>
        <v>0</v>
      </c>
      <c r="AB64" s="19">
        <f t="shared" si="15"/>
        <v>0</v>
      </c>
      <c r="AC64" s="39">
        <f>'Setoran 2'!K64</f>
        <v>0</v>
      </c>
      <c r="AD64" s="19">
        <f t="shared" si="16"/>
        <v>0</v>
      </c>
      <c r="AE64" s="19">
        <f t="shared" si="17"/>
        <v>0</v>
      </c>
      <c r="AF64" s="38">
        <f>'Setoran 2'!L64</f>
        <v>0</v>
      </c>
      <c r="AG64" s="19">
        <f t="shared" si="18"/>
        <v>0</v>
      </c>
      <c r="AH64" s="19">
        <f t="shared" si="19"/>
        <v>0</v>
      </c>
      <c r="AI64" s="38">
        <f>'Setoran 2'!M64</f>
        <v>0</v>
      </c>
      <c r="AJ64" s="19">
        <f t="shared" si="20"/>
        <v>0</v>
      </c>
      <c r="AK64" s="19">
        <f t="shared" si="21"/>
        <v>0</v>
      </c>
      <c r="AL64" s="38">
        <f>'Setoran 2'!N64</f>
        <v>0</v>
      </c>
      <c r="AM64" s="19">
        <f t="shared" si="22"/>
        <v>0</v>
      </c>
      <c r="AN64" s="19">
        <f t="shared" si="23"/>
        <v>0</v>
      </c>
      <c r="AO64" s="38">
        <f>'Setoran 2'!O64</f>
        <v>0</v>
      </c>
      <c r="AP64" s="19">
        <f t="shared" si="24"/>
        <v>0</v>
      </c>
      <c r="AQ64" s="19">
        <f t="shared" si="25"/>
        <v>0</v>
      </c>
      <c r="AR64" s="38">
        <f>'Setoran 2'!P64</f>
        <v>0</v>
      </c>
      <c r="AS64" s="19">
        <f t="shared" si="26"/>
        <v>0</v>
      </c>
      <c r="AT64" s="19">
        <f t="shared" si="27"/>
        <v>0</v>
      </c>
      <c r="AU64" s="38">
        <f>'Setoran 2'!Q64</f>
        <v>0</v>
      </c>
      <c r="AV64" s="19">
        <f t="shared" si="28"/>
        <v>0</v>
      </c>
      <c r="AW64" s="19">
        <f t="shared" si="29"/>
        <v>0</v>
      </c>
      <c r="AX64" s="39">
        <f t="shared" si="30"/>
        <v>0</v>
      </c>
      <c r="AY64" s="38">
        <f t="shared" si="31"/>
        <v>0</v>
      </c>
      <c r="AZ64" s="21">
        <f t="shared" si="32"/>
        <v>0</v>
      </c>
      <c r="BA64" s="22">
        <f t="shared" si="33"/>
        <v>0</v>
      </c>
    </row>
    <row r="65" spans="1:53" ht="14.5" customHeight="1" x14ac:dyDescent="0.2">
      <c r="A65" s="71">
        <v>2</v>
      </c>
      <c r="B65" s="53" t="s">
        <v>101</v>
      </c>
      <c r="C65" s="57">
        <f>'Data '!C61</f>
        <v>0</v>
      </c>
      <c r="D65" s="57">
        <f>'Data '!D61</f>
        <v>0</v>
      </c>
      <c r="E65" s="39">
        <f>'Setoran 2'!C65</f>
        <v>0</v>
      </c>
      <c r="F65" s="19">
        <f t="shared" si="0"/>
        <v>0</v>
      </c>
      <c r="G65" s="19">
        <f t="shared" si="1"/>
        <v>0</v>
      </c>
      <c r="H65" s="39">
        <f>'Setoran 2'!D65</f>
        <v>0</v>
      </c>
      <c r="I65" s="19">
        <f t="shared" si="2"/>
        <v>0</v>
      </c>
      <c r="J65" s="19">
        <f t="shared" si="3"/>
        <v>0</v>
      </c>
      <c r="K65" s="39">
        <f>'Setoran 2'!E65</f>
        <v>0</v>
      </c>
      <c r="L65" s="19">
        <f t="shared" si="4"/>
        <v>0</v>
      </c>
      <c r="M65" s="19">
        <f t="shared" si="5"/>
        <v>0</v>
      </c>
      <c r="N65" s="39">
        <f>'Setoran 2'!F65</f>
        <v>0</v>
      </c>
      <c r="O65" s="19">
        <f t="shared" si="6"/>
        <v>0</v>
      </c>
      <c r="P65" s="19">
        <f t="shared" si="7"/>
        <v>0</v>
      </c>
      <c r="Q65" s="39">
        <f>'Setoran 2'!G65</f>
        <v>0</v>
      </c>
      <c r="R65" s="19">
        <f t="shared" si="8"/>
        <v>0</v>
      </c>
      <c r="S65" s="19">
        <f t="shared" si="9"/>
        <v>0</v>
      </c>
      <c r="T65" s="39">
        <f>'Setoran 2'!H65</f>
        <v>0</v>
      </c>
      <c r="U65" s="19">
        <f t="shared" si="10"/>
        <v>0</v>
      </c>
      <c r="V65" s="19">
        <f t="shared" si="11"/>
        <v>0</v>
      </c>
      <c r="W65" s="39">
        <f>'Setoran 2'!I65</f>
        <v>0</v>
      </c>
      <c r="X65" s="19">
        <f t="shared" si="12"/>
        <v>0</v>
      </c>
      <c r="Y65" s="19">
        <f t="shared" si="13"/>
        <v>0</v>
      </c>
      <c r="Z65" s="39">
        <f>'Setoran 2'!J65</f>
        <v>0</v>
      </c>
      <c r="AA65" s="19">
        <f t="shared" si="14"/>
        <v>0</v>
      </c>
      <c r="AB65" s="19">
        <f t="shared" si="15"/>
        <v>0</v>
      </c>
      <c r="AC65" s="39">
        <f>'Setoran 2'!K65</f>
        <v>0</v>
      </c>
      <c r="AD65" s="19">
        <f t="shared" si="16"/>
        <v>0</v>
      </c>
      <c r="AE65" s="19">
        <f t="shared" si="17"/>
        <v>0</v>
      </c>
      <c r="AF65" s="38">
        <f>'Setoran 2'!L65</f>
        <v>0</v>
      </c>
      <c r="AG65" s="19">
        <f t="shared" si="18"/>
        <v>0</v>
      </c>
      <c r="AH65" s="19">
        <f t="shared" si="19"/>
        <v>0</v>
      </c>
      <c r="AI65" s="38">
        <f>'Setoran 2'!M65</f>
        <v>0</v>
      </c>
      <c r="AJ65" s="19">
        <f t="shared" si="20"/>
        <v>0</v>
      </c>
      <c r="AK65" s="19">
        <f t="shared" si="21"/>
        <v>0</v>
      </c>
      <c r="AL65" s="38">
        <f>'Setoran 2'!N65</f>
        <v>0</v>
      </c>
      <c r="AM65" s="19">
        <f t="shared" si="22"/>
        <v>0</v>
      </c>
      <c r="AN65" s="19">
        <f t="shared" si="23"/>
        <v>0</v>
      </c>
      <c r="AO65" s="38">
        <f>'Setoran 2'!O65</f>
        <v>0</v>
      </c>
      <c r="AP65" s="19">
        <f t="shared" si="24"/>
        <v>0</v>
      </c>
      <c r="AQ65" s="19">
        <f t="shared" si="25"/>
        <v>0</v>
      </c>
      <c r="AR65" s="38">
        <f>'Setoran 2'!P65</f>
        <v>0</v>
      </c>
      <c r="AS65" s="19">
        <f t="shared" si="26"/>
        <v>0</v>
      </c>
      <c r="AT65" s="19">
        <f t="shared" si="27"/>
        <v>0</v>
      </c>
      <c r="AU65" s="38">
        <f>'Setoran 2'!Q65</f>
        <v>0</v>
      </c>
      <c r="AV65" s="19">
        <f t="shared" si="28"/>
        <v>0</v>
      </c>
      <c r="AW65" s="19">
        <f t="shared" si="29"/>
        <v>0</v>
      </c>
      <c r="AX65" s="39">
        <f t="shared" si="30"/>
        <v>0</v>
      </c>
      <c r="AY65" s="38">
        <f t="shared" si="31"/>
        <v>0</v>
      </c>
      <c r="AZ65" s="21">
        <f t="shared" si="32"/>
        <v>0</v>
      </c>
      <c r="BA65" s="22">
        <f t="shared" si="33"/>
        <v>0</v>
      </c>
    </row>
    <row r="66" spans="1:53" ht="14.5" customHeight="1" x14ac:dyDescent="0.2">
      <c r="A66" s="71">
        <v>3</v>
      </c>
      <c r="B66" s="53" t="s">
        <v>47</v>
      </c>
      <c r="C66" s="57">
        <f>'Data '!C62</f>
        <v>150</v>
      </c>
      <c r="D66" s="57">
        <f>'Data '!D62</f>
        <v>200</v>
      </c>
      <c r="E66" s="39">
        <f>'Setoran 2'!C66</f>
        <v>0</v>
      </c>
      <c r="F66" s="19">
        <f t="shared" si="0"/>
        <v>0</v>
      </c>
      <c r="G66" s="19">
        <f t="shared" si="1"/>
        <v>0</v>
      </c>
      <c r="H66" s="39">
        <f>'Setoran 2'!D66</f>
        <v>0</v>
      </c>
      <c r="I66" s="19">
        <f t="shared" si="2"/>
        <v>0</v>
      </c>
      <c r="J66" s="19">
        <f t="shared" si="3"/>
        <v>0</v>
      </c>
      <c r="K66" s="39">
        <f>'Setoran 2'!E66</f>
        <v>0</v>
      </c>
      <c r="L66" s="19">
        <f t="shared" si="4"/>
        <v>0</v>
      </c>
      <c r="M66" s="19">
        <f t="shared" si="5"/>
        <v>0</v>
      </c>
      <c r="N66" s="39">
        <f>'Setoran 2'!F66</f>
        <v>0</v>
      </c>
      <c r="O66" s="19">
        <f t="shared" si="6"/>
        <v>0</v>
      </c>
      <c r="P66" s="19">
        <f t="shared" si="7"/>
        <v>0</v>
      </c>
      <c r="Q66" s="39">
        <f>'Setoran 2'!G66</f>
        <v>0</v>
      </c>
      <c r="R66" s="19">
        <f t="shared" si="8"/>
        <v>0</v>
      </c>
      <c r="S66" s="19">
        <f t="shared" si="9"/>
        <v>0</v>
      </c>
      <c r="T66" s="39">
        <f>'Setoran 2'!H66</f>
        <v>0</v>
      </c>
      <c r="U66" s="19">
        <f t="shared" si="10"/>
        <v>0</v>
      </c>
      <c r="V66" s="19">
        <f t="shared" si="11"/>
        <v>0</v>
      </c>
      <c r="W66" s="39">
        <f>'Setoran 2'!I66</f>
        <v>0</v>
      </c>
      <c r="X66" s="19">
        <f t="shared" si="12"/>
        <v>0</v>
      </c>
      <c r="Y66" s="19">
        <f t="shared" si="13"/>
        <v>0</v>
      </c>
      <c r="Z66" s="39">
        <f>'Setoran 2'!J66</f>
        <v>0</v>
      </c>
      <c r="AA66" s="19">
        <f t="shared" si="14"/>
        <v>0</v>
      </c>
      <c r="AB66" s="19">
        <f t="shared" si="15"/>
        <v>0</v>
      </c>
      <c r="AC66" s="39">
        <f>'Setoran 2'!K66</f>
        <v>0</v>
      </c>
      <c r="AD66" s="19">
        <f t="shared" si="16"/>
        <v>0</v>
      </c>
      <c r="AE66" s="19">
        <f t="shared" si="17"/>
        <v>0</v>
      </c>
      <c r="AF66" s="38">
        <f>'Setoran 2'!L66</f>
        <v>0</v>
      </c>
      <c r="AG66" s="19">
        <f t="shared" si="18"/>
        <v>0</v>
      </c>
      <c r="AH66" s="19">
        <f t="shared" si="19"/>
        <v>0</v>
      </c>
      <c r="AI66" s="38">
        <f>'Setoran 2'!M66</f>
        <v>0</v>
      </c>
      <c r="AJ66" s="19">
        <f t="shared" si="20"/>
        <v>0</v>
      </c>
      <c r="AK66" s="19">
        <f t="shared" si="21"/>
        <v>0</v>
      </c>
      <c r="AL66" s="38">
        <f>'Setoran 2'!N66</f>
        <v>0</v>
      </c>
      <c r="AM66" s="19">
        <f t="shared" si="22"/>
        <v>0</v>
      </c>
      <c r="AN66" s="19">
        <f t="shared" si="23"/>
        <v>0</v>
      </c>
      <c r="AO66" s="38">
        <f>'Setoran 2'!O66</f>
        <v>0</v>
      </c>
      <c r="AP66" s="19">
        <f t="shared" si="24"/>
        <v>0</v>
      </c>
      <c r="AQ66" s="19">
        <f t="shared" si="25"/>
        <v>0</v>
      </c>
      <c r="AR66" s="38">
        <f>'Setoran 2'!P66</f>
        <v>0</v>
      </c>
      <c r="AS66" s="19">
        <f t="shared" si="26"/>
        <v>0</v>
      </c>
      <c r="AT66" s="19">
        <f t="shared" si="27"/>
        <v>0</v>
      </c>
      <c r="AU66" s="38">
        <f>'Setoran 2'!Q66</f>
        <v>0</v>
      </c>
      <c r="AV66" s="19">
        <f t="shared" si="28"/>
        <v>0</v>
      </c>
      <c r="AW66" s="19">
        <f t="shared" si="29"/>
        <v>0</v>
      </c>
      <c r="AX66" s="39">
        <f t="shared" si="30"/>
        <v>0</v>
      </c>
      <c r="AY66" s="38">
        <f t="shared" si="31"/>
        <v>0</v>
      </c>
      <c r="AZ66" s="21">
        <f t="shared" si="32"/>
        <v>0</v>
      </c>
      <c r="BA66" s="22">
        <f t="shared" si="33"/>
        <v>0</v>
      </c>
    </row>
    <row r="67" spans="1:53" ht="14.5" customHeight="1" x14ac:dyDescent="0.2">
      <c r="A67" s="71">
        <v>4</v>
      </c>
      <c r="B67" s="53" t="s">
        <v>102</v>
      </c>
      <c r="C67" s="57">
        <f>'Data '!C63</f>
        <v>0</v>
      </c>
      <c r="D67" s="57">
        <f>'Data '!D63</f>
        <v>0</v>
      </c>
      <c r="E67" s="39">
        <f>'Setoran 2'!C67</f>
        <v>0</v>
      </c>
      <c r="F67" s="19">
        <f t="shared" si="0"/>
        <v>0</v>
      </c>
      <c r="G67" s="19">
        <f t="shared" si="1"/>
        <v>0</v>
      </c>
      <c r="H67" s="39">
        <f>'Setoran 2'!D67</f>
        <v>0</v>
      </c>
      <c r="I67" s="19">
        <f t="shared" si="2"/>
        <v>0</v>
      </c>
      <c r="J67" s="19">
        <f t="shared" si="3"/>
        <v>0</v>
      </c>
      <c r="K67" s="39">
        <f>'Setoran 2'!E67</f>
        <v>0</v>
      </c>
      <c r="L67" s="19">
        <f t="shared" si="4"/>
        <v>0</v>
      </c>
      <c r="M67" s="19">
        <f t="shared" si="5"/>
        <v>0</v>
      </c>
      <c r="N67" s="39">
        <f>'Setoran 2'!F67</f>
        <v>0</v>
      </c>
      <c r="O67" s="19">
        <f t="shared" si="6"/>
        <v>0</v>
      </c>
      <c r="P67" s="19">
        <f t="shared" si="7"/>
        <v>0</v>
      </c>
      <c r="Q67" s="39">
        <f>'Setoran 2'!G67</f>
        <v>0</v>
      </c>
      <c r="R67" s="19">
        <f t="shared" si="8"/>
        <v>0</v>
      </c>
      <c r="S67" s="19">
        <f t="shared" si="9"/>
        <v>0</v>
      </c>
      <c r="T67" s="39">
        <f>'Setoran 2'!H67</f>
        <v>0</v>
      </c>
      <c r="U67" s="19">
        <f t="shared" si="10"/>
        <v>0</v>
      </c>
      <c r="V67" s="19">
        <f t="shared" si="11"/>
        <v>0</v>
      </c>
      <c r="W67" s="39">
        <f>'Setoran 2'!I67</f>
        <v>0</v>
      </c>
      <c r="X67" s="19">
        <f t="shared" si="12"/>
        <v>0</v>
      </c>
      <c r="Y67" s="19">
        <f t="shared" si="13"/>
        <v>0</v>
      </c>
      <c r="Z67" s="39">
        <f>'Setoran 2'!J67</f>
        <v>0</v>
      </c>
      <c r="AA67" s="19">
        <f t="shared" si="14"/>
        <v>0</v>
      </c>
      <c r="AB67" s="19">
        <f t="shared" si="15"/>
        <v>0</v>
      </c>
      <c r="AC67" s="39">
        <f>'Setoran 2'!K67</f>
        <v>0</v>
      </c>
      <c r="AD67" s="19">
        <f t="shared" si="16"/>
        <v>0</v>
      </c>
      <c r="AE67" s="19">
        <f t="shared" si="17"/>
        <v>0</v>
      </c>
      <c r="AF67" s="38">
        <f>'Setoran 2'!L67</f>
        <v>0</v>
      </c>
      <c r="AG67" s="19">
        <f t="shared" si="18"/>
        <v>0</v>
      </c>
      <c r="AH67" s="19">
        <f t="shared" si="19"/>
        <v>0</v>
      </c>
      <c r="AI67" s="38">
        <f>'Setoran 2'!M67</f>
        <v>0</v>
      </c>
      <c r="AJ67" s="19">
        <f t="shared" si="20"/>
        <v>0</v>
      </c>
      <c r="AK67" s="19">
        <f t="shared" si="21"/>
        <v>0</v>
      </c>
      <c r="AL67" s="38">
        <f>'Setoran 2'!N67</f>
        <v>0</v>
      </c>
      <c r="AM67" s="19">
        <f t="shared" si="22"/>
        <v>0</v>
      </c>
      <c r="AN67" s="19">
        <f t="shared" si="23"/>
        <v>0</v>
      </c>
      <c r="AO67" s="38">
        <f>'Setoran 2'!O67</f>
        <v>0</v>
      </c>
      <c r="AP67" s="19">
        <f t="shared" si="24"/>
        <v>0</v>
      </c>
      <c r="AQ67" s="19">
        <f t="shared" si="25"/>
        <v>0</v>
      </c>
      <c r="AR67" s="38">
        <f>'Setoran 2'!P67</f>
        <v>0</v>
      </c>
      <c r="AS67" s="19">
        <f t="shared" si="26"/>
        <v>0</v>
      </c>
      <c r="AT67" s="19">
        <f t="shared" si="27"/>
        <v>0</v>
      </c>
      <c r="AU67" s="38">
        <f>'Setoran 2'!Q67</f>
        <v>0</v>
      </c>
      <c r="AV67" s="19">
        <f t="shared" si="28"/>
        <v>0</v>
      </c>
      <c r="AW67" s="19">
        <f t="shared" si="29"/>
        <v>0</v>
      </c>
      <c r="AX67" s="39">
        <f t="shared" si="30"/>
        <v>0</v>
      </c>
      <c r="AY67" s="38">
        <f t="shared" si="31"/>
        <v>0</v>
      </c>
      <c r="AZ67" s="21">
        <f t="shared" si="32"/>
        <v>0</v>
      </c>
      <c r="BA67" s="22">
        <f t="shared" si="33"/>
        <v>0</v>
      </c>
    </row>
    <row r="68" spans="1:53" ht="14.5" customHeight="1" x14ac:dyDescent="0.2">
      <c r="A68" s="71">
        <v>5</v>
      </c>
      <c r="B68" s="53" t="s">
        <v>48</v>
      </c>
      <c r="C68" s="57">
        <f>'Data '!C64</f>
        <v>0</v>
      </c>
      <c r="D68" s="57">
        <f>'Data '!D64</f>
        <v>0</v>
      </c>
      <c r="E68" s="39">
        <f>'Setoran 2'!C68</f>
        <v>0</v>
      </c>
      <c r="F68" s="19">
        <f t="shared" si="0"/>
        <v>0</v>
      </c>
      <c r="G68" s="19">
        <f t="shared" si="1"/>
        <v>0</v>
      </c>
      <c r="H68" s="39">
        <f>'Setoran 2'!D68</f>
        <v>0</v>
      </c>
      <c r="I68" s="19">
        <f t="shared" si="2"/>
        <v>0</v>
      </c>
      <c r="J68" s="19">
        <f t="shared" si="3"/>
        <v>0</v>
      </c>
      <c r="K68" s="39">
        <f>'Setoran 2'!E68</f>
        <v>0</v>
      </c>
      <c r="L68" s="19">
        <f t="shared" si="4"/>
        <v>0</v>
      </c>
      <c r="M68" s="19">
        <f t="shared" si="5"/>
        <v>0</v>
      </c>
      <c r="N68" s="39">
        <f>'Setoran 2'!F68</f>
        <v>0</v>
      </c>
      <c r="O68" s="19">
        <f t="shared" si="6"/>
        <v>0</v>
      </c>
      <c r="P68" s="19">
        <f t="shared" si="7"/>
        <v>0</v>
      </c>
      <c r="Q68" s="39">
        <f>'Setoran 2'!G68</f>
        <v>0</v>
      </c>
      <c r="R68" s="19">
        <f t="shared" si="8"/>
        <v>0</v>
      </c>
      <c r="S68" s="19">
        <f t="shared" si="9"/>
        <v>0</v>
      </c>
      <c r="T68" s="39">
        <f>'Setoran 2'!H68</f>
        <v>0</v>
      </c>
      <c r="U68" s="19">
        <f t="shared" si="10"/>
        <v>0</v>
      </c>
      <c r="V68" s="19">
        <f t="shared" si="11"/>
        <v>0</v>
      </c>
      <c r="W68" s="39">
        <f>'Setoran 2'!I68</f>
        <v>0</v>
      </c>
      <c r="X68" s="19">
        <f t="shared" si="12"/>
        <v>0</v>
      </c>
      <c r="Y68" s="19">
        <f t="shared" si="13"/>
        <v>0</v>
      </c>
      <c r="Z68" s="39">
        <f>'Setoran 2'!J68</f>
        <v>0</v>
      </c>
      <c r="AA68" s="19">
        <f t="shared" si="14"/>
        <v>0</v>
      </c>
      <c r="AB68" s="19">
        <f t="shared" si="15"/>
        <v>0</v>
      </c>
      <c r="AC68" s="39">
        <f>'Setoran 2'!K68</f>
        <v>0</v>
      </c>
      <c r="AD68" s="19">
        <f t="shared" si="16"/>
        <v>0</v>
      </c>
      <c r="AE68" s="19">
        <f t="shared" si="17"/>
        <v>0</v>
      </c>
      <c r="AF68" s="38">
        <f>'Setoran 2'!L68</f>
        <v>0</v>
      </c>
      <c r="AG68" s="19">
        <f t="shared" si="18"/>
        <v>0</v>
      </c>
      <c r="AH68" s="19">
        <f t="shared" si="19"/>
        <v>0</v>
      </c>
      <c r="AI68" s="38">
        <f>'Setoran 2'!M68</f>
        <v>0</v>
      </c>
      <c r="AJ68" s="19">
        <f t="shared" si="20"/>
        <v>0</v>
      </c>
      <c r="AK68" s="19">
        <f t="shared" si="21"/>
        <v>0</v>
      </c>
      <c r="AL68" s="38">
        <f>'Setoran 2'!N68</f>
        <v>0</v>
      </c>
      <c r="AM68" s="19">
        <f t="shared" si="22"/>
        <v>0</v>
      </c>
      <c r="AN68" s="19">
        <f t="shared" si="23"/>
        <v>0</v>
      </c>
      <c r="AO68" s="38">
        <f>'Setoran 2'!O68</f>
        <v>0</v>
      </c>
      <c r="AP68" s="19">
        <f t="shared" si="24"/>
        <v>0</v>
      </c>
      <c r="AQ68" s="19">
        <f t="shared" si="25"/>
        <v>0</v>
      </c>
      <c r="AR68" s="38">
        <f>'Setoran 2'!P68</f>
        <v>0</v>
      </c>
      <c r="AS68" s="19">
        <f t="shared" si="26"/>
        <v>0</v>
      </c>
      <c r="AT68" s="19">
        <f t="shared" si="27"/>
        <v>0</v>
      </c>
      <c r="AU68" s="38">
        <f>'Setoran 2'!Q68</f>
        <v>0</v>
      </c>
      <c r="AV68" s="19">
        <f t="shared" si="28"/>
        <v>0</v>
      </c>
      <c r="AW68" s="19">
        <f t="shared" si="29"/>
        <v>0</v>
      </c>
      <c r="AX68" s="39">
        <f t="shared" si="30"/>
        <v>0</v>
      </c>
      <c r="AY68" s="38">
        <f t="shared" si="31"/>
        <v>0</v>
      </c>
      <c r="AZ68" s="21">
        <f t="shared" si="32"/>
        <v>0</v>
      </c>
      <c r="BA68" s="22">
        <f t="shared" si="33"/>
        <v>0</v>
      </c>
    </row>
    <row r="69" spans="1:53" ht="14.5" customHeight="1" x14ac:dyDescent="0.2">
      <c r="A69" s="71">
        <v>6</v>
      </c>
      <c r="B69" s="53" t="s">
        <v>49</v>
      </c>
      <c r="C69" s="57">
        <f>'Data '!C65</f>
        <v>0</v>
      </c>
      <c r="D69" s="57">
        <f>'Data '!D65</f>
        <v>0</v>
      </c>
      <c r="E69" s="39">
        <f>'Setoran 2'!C69</f>
        <v>0</v>
      </c>
      <c r="F69" s="19">
        <f t="shared" si="0"/>
        <v>0</v>
      </c>
      <c r="G69" s="19">
        <f t="shared" si="1"/>
        <v>0</v>
      </c>
      <c r="H69" s="39">
        <f>'Setoran 2'!D69</f>
        <v>0</v>
      </c>
      <c r="I69" s="19">
        <f t="shared" si="2"/>
        <v>0</v>
      </c>
      <c r="J69" s="19">
        <f t="shared" si="3"/>
        <v>0</v>
      </c>
      <c r="K69" s="39">
        <f>'Setoran 2'!E69</f>
        <v>0</v>
      </c>
      <c r="L69" s="19">
        <f t="shared" si="4"/>
        <v>0</v>
      </c>
      <c r="M69" s="19">
        <f t="shared" si="5"/>
        <v>0</v>
      </c>
      <c r="N69" s="39">
        <f>'Setoran 2'!F69</f>
        <v>0</v>
      </c>
      <c r="O69" s="19">
        <f t="shared" si="6"/>
        <v>0</v>
      </c>
      <c r="P69" s="19">
        <f t="shared" si="7"/>
        <v>0</v>
      </c>
      <c r="Q69" s="39">
        <f>'Setoran 2'!G69</f>
        <v>0</v>
      </c>
      <c r="R69" s="19">
        <f t="shared" si="8"/>
        <v>0</v>
      </c>
      <c r="S69" s="19">
        <f t="shared" si="9"/>
        <v>0</v>
      </c>
      <c r="T69" s="39">
        <f>'Setoran 2'!H69</f>
        <v>0</v>
      </c>
      <c r="U69" s="19">
        <f t="shared" si="10"/>
        <v>0</v>
      </c>
      <c r="V69" s="19">
        <f t="shared" si="11"/>
        <v>0</v>
      </c>
      <c r="W69" s="39">
        <f>'Setoran 2'!I69</f>
        <v>0</v>
      </c>
      <c r="X69" s="19">
        <f t="shared" si="12"/>
        <v>0</v>
      </c>
      <c r="Y69" s="19">
        <f t="shared" si="13"/>
        <v>0</v>
      </c>
      <c r="Z69" s="39">
        <f>'Setoran 2'!J69</f>
        <v>0</v>
      </c>
      <c r="AA69" s="19">
        <f t="shared" si="14"/>
        <v>0</v>
      </c>
      <c r="AB69" s="19">
        <f t="shared" si="15"/>
        <v>0</v>
      </c>
      <c r="AC69" s="39">
        <f>'Setoran 2'!K69</f>
        <v>0</v>
      </c>
      <c r="AD69" s="19">
        <f t="shared" si="16"/>
        <v>0</v>
      </c>
      <c r="AE69" s="19">
        <f t="shared" si="17"/>
        <v>0</v>
      </c>
      <c r="AF69" s="38">
        <f>'Setoran 2'!L69</f>
        <v>0</v>
      </c>
      <c r="AG69" s="19">
        <f t="shared" si="18"/>
        <v>0</v>
      </c>
      <c r="AH69" s="19">
        <f t="shared" si="19"/>
        <v>0</v>
      </c>
      <c r="AI69" s="38">
        <f>'Setoran 2'!M69</f>
        <v>0</v>
      </c>
      <c r="AJ69" s="19">
        <f t="shared" si="20"/>
        <v>0</v>
      </c>
      <c r="AK69" s="19">
        <f t="shared" si="21"/>
        <v>0</v>
      </c>
      <c r="AL69" s="38">
        <f>'Setoran 2'!N69</f>
        <v>0</v>
      </c>
      <c r="AM69" s="19">
        <f t="shared" si="22"/>
        <v>0</v>
      </c>
      <c r="AN69" s="19">
        <f t="shared" si="23"/>
        <v>0</v>
      </c>
      <c r="AO69" s="38">
        <f>'Setoran 2'!O69</f>
        <v>0</v>
      </c>
      <c r="AP69" s="19">
        <f t="shared" si="24"/>
        <v>0</v>
      </c>
      <c r="AQ69" s="19">
        <f t="shared" si="25"/>
        <v>0</v>
      </c>
      <c r="AR69" s="38">
        <f>'Setoran 2'!P69</f>
        <v>0</v>
      </c>
      <c r="AS69" s="19">
        <f t="shared" si="26"/>
        <v>0</v>
      </c>
      <c r="AT69" s="19">
        <f t="shared" si="27"/>
        <v>0</v>
      </c>
      <c r="AU69" s="38">
        <f>'Setoran 2'!Q69</f>
        <v>0</v>
      </c>
      <c r="AV69" s="19">
        <f t="shared" si="28"/>
        <v>0</v>
      </c>
      <c r="AW69" s="19">
        <f t="shared" si="29"/>
        <v>0</v>
      </c>
      <c r="AX69" s="39">
        <f t="shared" si="30"/>
        <v>0</v>
      </c>
      <c r="AY69" s="38">
        <f t="shared" si="31"/>
        <v>0</v>
      </c>
      <c r="AZ69" s="21">
        <f t="shared" si="32"/>
        <v>0</v>
      </c>
      <c r="BA69" s="22">
        <f t="shared" si="33"/>
        <v>0</v>
      </c>
    </row>
    <row r="70" spans="1:53" ht="14.5" customHeight="1" x14ac:dyDescent="0.2">
      <c r="A70" s="71">
        <v>7</v>
      </c>
      <c r="B70" s="53" t="s">
        <v>52</v>
      </c>
      <c r="C70" s="57">
        <f>'Data '!C66</f>
        <v>150</v>
      </c>
      <c r="D70" s="57">
        <f>'Data '!D66</f>
        <v>200</v>
      </c>
      <c r="E70" s="39">
        <f>'Setoran 2'!C70</f>
        <v>0</v>
      </c>
      <c r="F70" s="19">
        <f t="shared" si="0"/>
        <v>0</v>
      </c>
      <c r="G70" s="19">
        <f t="shared" si="1"/>
        <v>0</v>
      </c>
      <c r="H70" s="39">
        <f>'Setoran 2'!D70</f>
        <v>0</v>
      </c>
      <c r="I70" s="19">
        <f t="shared" si="2"/>
        <v>0</v>
      </c>
      <c r="J70" s="19">
        <f t="shared" si="3"/>
        <v>0</v>
      </c>
      <c r="K70" s="39">
        <f>'Setoran 2'!E70</f>
        <v>0</v>
      </c>
      <c r="L70" s="19">
        <f t="shared" si="4"/>
        <v>0</v>
      </c>
      <c r="M70" s="19">
        <f t="shared" si="5"/>
        <v>0</v>
      </c>
      <c r="N70" s="39">
        <f>'Setoran 2'!F70</f>
        <v>0</v>
      </c>
      <c r="O70" s="19">
        <f t="shared" si="6"/>
        <v>0</v>
      </c>
      <c r="P70" s="19">
        <f t="shared" si="7"/>
        <v>0</v>
      </c>
      <c r="Q70" s="39">
        <f>'Setoran 2'!G70</f>
        <v>0</v>
      </c>
      <c r="R70" s="19">
        <f t="shared" si="8"/>
        <v>0</v>
      </c>
      <c r="S70" s="19">
        <f t="shared" si="9"/>
        <v>0</v>
      </c>
      <c r="T70" s="39">
        <f>'Setoran 2'!H70</f>
        <v>0</v>
      </c>
      <c r="U70" s="19">
        <f t="shared" si="10"/>
        <v>0</v>
      </c>
      <c r="V70" s="19">
        <f t="shared" si="11"/>
        <v>0</v>
      </c>
      <c r="W70" s="39">
        <f>'Setoran 2'!I70</f>
        <v>0</v>
      </c>
      <c r="X70" s="19">
        <f t="shared" si="12"/>
        <v>0</v>
      </c>
      <c r="Y70" s="19">
        <f t="shared" si="13"/>
        <v>0</v>
      </c>
      <c r="Z70" s="39">
        <f>'Setoran 2'!J70</f>
        <v>0</v>
      </c>
      <c r="AA70" s="19">
        <f t="shared" si="14"/>
        <v>0</v>
      </c>
      <c r="AB70" s="19">
        <f t="shared" si="15"/>
        <v>0</v>
      </c>
      <c r="AC70" s="39">
        <f>'Setoran 2'!K70</f>
        <v>0</v>
      </c>
      <c r="AD70" s="19">
        <f t="shared" si="16"/>
        <v>0</v>
      </c>
      <c r="AE70" s="19">
        <f t="shared" si="17"/>
        <v>0</v>
      </c>
      <c r="AF70" s="38">
        <f>'Setoran 2'!L70</f>
        <v>0</v>
      </c>
      <c r="AG70" s="19">
        <f t="shared" si="18"/>
        <v>0</v>
      </c>
      <c r="AH70" s="19">
        <f t="shared" si="19"/>
        <v>0</v>
      </c>
      <c r="AI70" s="38">
        <f>'Setoran 2'!M70</f>
        <v>0</v>
      </c>
      <c r="AJ70" s="19">
        <f t="shared" si="20"/>
        <v>0</v>
      </c>
      <c r="AK70" s="19">
        <f t="shared" si="21"/>
        <v>0</v>
      </c>
      <c r="AL70" s="38">
        <f>'Setoran 2'!N70</f>
        <v>0</v>
      </c>
      <c r="AM70" s="19">
        <f t="shared" si="22"/>
        <v>0</v>
      </c>
      <c r="AN70" s="19">
        <f t="shared" si="23"/>
        <v>0</v>
      </c>
      <c r="AO70" s="38">
        <f>'Setoran 2'!O70</f>
        <v>0</v>
      </c>
      <c r="AP70" s="19">
        <f t="shared" si="24"/>
        <v>0</v>
      </c>
      <c r="AQ70" s="19">
        <f t="shared" si="25"/>
        <v>0</v>
      </c>
      <c r="AR70" s="38">
        <f>'Setoran 2'!P70</f>
        <v>0</v>
      </c>
      <c r="AS70" s="19">
        <f t="shared" si="26"/>
        <v>0</v>
      </c>
      <c r="AT70" s="19">
        <f t="shared" si="27"/>
        <v>0</v>
      </c>
      <c r="AU70" s="38">
        <f>'Setoran 2'!Q70</f>
        <v>0</v>
      </c>
      <c r="AV70" s="19">
        <f t="shared" si="28"/>
        <v>0</v>
      </c>
      <c r="AW70" s="19">
        <f t="shared" si="29"/>
        <v>0</v>
      </c>
      <c r="AX70" s="39">
        <f t="shared" si="30"/>
        <v>0</v>
      </c>
      <c r="AY70" s="38">
        <f t="shared" si="31"/>
        <v>0</v>
      </c>
      <c r="AZ70" s="21">
        <f t="shared" si="32"/>
        <v>0</v>
      </c>
      <c r="BA70" s="22">
        <f t="shared" si="33"/>
        <v>0</v>
      </c>
    </row>
    <row r="71" spans="1:53" ht="14.5" customHeight="1" x14ac:dyDescent="0.2">
      <c r="A71" s="71">
        <v>8</v>
      </c>
      <c r="B71" s="53" t="s">
        <v>51</v>
      </c>
      <c r="C71" s="57">
        <f>'Data '!C67</f>
        <v>450</v>
      </c>
      <c r="D71" s="57">
        <f>'Data '!D67</f>
        <v>500</v>
      </c>
      <c r="E71" s="39">
        <f>'Setoran 2'!C71</f>
        <v>0</v>
      </c>
      <c r="F71" s="19">
        <f t="shared" si="0"/>
        <v>0</v>
      </c>
      <c r="G71" s="19">
        <f t="shared" si="1"/>
        <v>0</v>
      </c>
      <c r="H71" s="39">
        <f>'Setoran 2'!D71</f>
        <v>0</v>
      </c>
      <c r="I71" s="19">
        <f t="shared" si="2"/>
        <v>0</v>
      </c>
      <c r="J71" s="19">
        <f t="shared" si="3"/>
        <v>0</v>
      </c>
      <c r="K71" s="39">
        <f>'Setoran 2'!E71</f>
        <v>0</v>
      </c>
      <c r="L71" s="19">
        <f t="shared" si="4"/>
        <v>0</v>
      </c>
      <c r="M71" s="19">
        <f t="shared" si="5"/>
        <v>0</v>
      </c>
      <c r="N71" s="39">
        <f>'Setoran 2'!F71</f>
        <v>0</v>
      </c>
      <c r="O71" s="19">
        <f t="shared" si="6"/>
        <v>0</v>
      </c>
      <c r="P71" s="19">
        <f t="shared" si="7"/>
        <v>0</v>
      </c>
      <c r="Q71" s="39">
        <f>'Setoran 2'!G71</f>
        <v>0</v>
      </c>
      <c r="R71" s="19">
        <f t="shared" si="8"/>
        <v>0</v>
      </c>
      <c r="S71" s="19">
        <f t="shared" si="9"/>
        <v>0</v>
      </c>
      <c r="T71" s="39">
        <f>'Setoran 2'!H71</f>
        <v>0</v>
      </c>
      <c r="U71" s="19">
        <f t="shared" si="10"/>
        <v>0</v>
      </c>
      <c r="V71" s="19">
        <f t="shared" si="11"/>
        <v>0</v>
      </c>
      <c r="W71" s="39">
        <f>'Setoran 2'!I71</f>
        <v>0</v>
      </c>
      <c r="X71" s="19">
        <f t="shared" si="12"/>
        <v>0</v>
      </c>
      <c r="Y71" s="19">
        <f t="shared" si="13"/>
        <v>0</v>
      </c>
      <c r="Z71" s="39">
        <f>'Setoran 2'!J71</f>
        <v>0</v>
      </c>
      <c r="AA71" s="19">
        <f t="shared" si="14"/>
        <v>0</v>
      </c>
      <c r="AB71" s="19">
        <f t="shared" si="15"/>
        <v>0</v>
      </c>
      <c r="AC71" s="39">
        <f>'Setoran 2'!K71</f>
        <v>0</v>
      </c>
      <c r="AD71" s="19">
        <f t="shared" si="16"/>
        <v>0</v>
      </c>
      <c r="AE71" s="19">
        <f t="shared" si="17"/>
        <v>0</v>
      </c>
      <c r="AF71" s="38">
        <f>'Setoran 2'!L71</f>
        <v>0</v>
      </c>
      <c r="AG71" s="19">
        <f t="shared" si="18"/>
        <v>0</v>
      </c>
      <c r="AH71" s="19">
        <f t="shared" si="19"/>
        <v>0</v>
      </c>
      <c r="AI71" s="38">
        <f>'Setoran 2'!M71</f>
        <v>0</v>
      </c>
      <c r="AJ71" s="19">
        <f t="shared" si="20"/>
        <v>0</v>
      </c>
      <c r="AK71" s="19">
        <f t="shared" si="21"/>
        <v>0</v>
      </c>
      <c r="AL71" s="38">
        <f>'Setoran 2'!N71</f>
        <v>0</v>
      </c>
      <c r="AM71" s="19">
        <f t="shared" si="22"/>
        <v>0</v>
      </c>
      <c r="AN71" s="19">
        <f t="shared" si="23"/>
        <v>0</v>
      </c>
      <c r="AO71" s="38">
        <f>'Setoran 2'!O71</f>
        <v>0</v>
      </c>
      <c r="AP71" s="19">
        <f t="shared" si="24"/>
        <v>0</v>
      </c>
      <c r="AQ71" s="19">
        <f t="shared" si="25"/>
        <v>0</v>
      </c>
      <c r="AR71" s="38">
        <f>'Setoran 2'!P71</f>
        <v>0</v>
      </c>
      <c r="AS71" s="19">
        <f t="shared" si="26"/>
        <v>0</v>
      </c>
      <c r="AT71" s="19">
        <f t="shared" si="27"/>
        <v>0</v>
      </c>
      <c r="AU71" s="38">
        <f>'Setoran 2'!Q71</f>
        <v>0</v>
      </c>
      <c r="AV71" s="19">
        <f t="shared" si="28"/>
        <v>0</v>
      </c>
      <c r="AW71" s="19">
        <f t="shared" si="29"/>
        <v>0</v>
      </c>
      <c r="AX71" s="39">
        <f t="shared" si="30"/>
        <v>0</v>
      </c>
      <c r="AY71" s="38">
        <f t="shared" si="31"/>
        <v>0</v>
      </c>
      <c r="AZ71" s="21">
        <f t="shared" si="32"/>
        <v>0</v>
      </c>
      <c r="BA71" s="22">
        <f t="shared" si="33"/>
        <v>0</v>
      </c>
    </row>
    <row r="72" spans="1:53" ht="14.5" customHeight="1" x14ac:dyDescent="0.2">
      <c r="A72" s="71">
        <v>9</v>
      </c>
      <c r="B72" s="53" t="s">
        <v>104</v>
      </c>
      <c r="C72" s="57">
        <f>'Data '!C68</f>
        <v>0</v>
      </c>
      <c r="D72" s="57">
        <f>'Data '!D68</f>
        <v>0</v>
      </c>
      <c r="E72" s="39">
        <f>'Setoran 2'!C72</f>
        <v>0</v>
      </c>
      <c r="F72" s="19">
        <f t="shared" si="0"/>
        <v>0</v>
      </c>
      <c r="G72" s="19">
        <f t="shared" si="1"/>
        <v>0</v>
      </c>
      <c r="H72" s="39">
        <f>'Setoran 2'!D72</f>
        <v>0</v>
      </c>
      <c r="I72" s="19">
        <f t="shared" si="2"/>
        <v>0</v>
      </c>
      <c r="J72" s="19">
        <f t="shared" si="3"/>
        <v>0</v>
      </c>
      <c r="K72" s="39">
        <f>'Setoran 2'!E72</f>
        <v>0</v>
      </c>
      <c r="L72" s="19">
        <f t="shared" si="4"/>
        <v>0</v>
      </c>
      <c r="M72" s="19">
        <f t="shared" si="5"/>
        <v>0</v>
      </c>
      <c r="N72" s="39">
        <f>'Setoran 2'!F72</f>
        <v>0</v>
      </c>
      <c r="O72" s="19">
        <f t="shared" si="6"/>
        <v>0</v>
      </c>
      <c r="P72" s="19">
        <f t="shared" si="7"/>
        <v>0</v>
      </c>
      <c r="Q72" s="39">
        <f>'Setoran 2'!G72</f>
        <v>0</v>
      </c>
      <c r="R72" s="19">
        <f t="shared" si="8"/>
        <v>0</v>
      </c>
      <c r="S72" s="19">
        <f t="shared" si="9"/>
        <v>0</v>
      </c>
      <c r="T72" s="39">
        <f>'Setoran 2'!H72</f>
        <v>0</v>
      </c>
      <c r="U72" s="19">
        <f t="shared" si="10"/>
        <v>0</v>
      </c>
      <c r="V72" s="19">
        <f t="shared" si="11"/>
        <v>0</v>
      </c>
      <c r="W72" s="39">
        <f>'Setoran 2'!I72</f>
        <v>0</v>
      </c>
      <c r="X72" s="19">
        <f t="shared" si="12"/>
        <v>0</v>
      </c>
      <c r="Y72" s="19">
        <f t="shared" si="13"/>
        <v>0</v>
      </c>
      <c r="Z72" s="39">
        <f>'Setoran 2'!J72</f>
        <v>0</v>
      </c>
      <c r="AA72" s="19">
        <f t="shared" si="14"/>
        <v>0</v>
      </c>
      <c r="AB72" s="19">
        <f t="shared" si="15"/>
        <v>0</v>
      </c>
      <c r="AC72" s="39">
        <f>'Setoran 2'!K72</f>
        <v>0</v>
      </c>
      <c r="AD72" s="19">
        <f t="shared" si="16"/>
        <v>0</v>
      </c>
      <c r="AE72" s="19">
        <f t="shared" si="17"/>
        <v>0</v>
      </c>
      <c r="AF72" s="38">
        <f>'Setoran 2'!L72</f>
        <v>0</v>
      </c>
      <c r="AG72" s="19">
        <f t="shared" si="18"/>
        <v>0</v>
      </c>
      <c r="AH72" s="19">
        <f t="shared" si="19"/>
        <v>0</v>
      </c>
      <c r="AI72" s="38">
        <f>'Setoran 2'!M72</f>
        <v>0</v>
      </c>
      <c r="AJ72" s="19">
        <f t="shared" si="20"/>
        <v>0</v>
      </c>
      <c r="AK72" s="19">
        <f t="shared" si="21"/>
        <v>0</v>
      </c>
      <c r="AL72" s="38">
        <f>'Setoran 2'!N72</f>
        <v>0</v>
      </c>
      <c r="AM72" s="19">
        <f t="shared" si="22"/>
        <v>0</v>
      </c>
      <c r="AN72" s="19">
        <f t="shared" si="23"/>
        <v>0</v>
      </c>
      <c r="AO72" s="38">
        <f>'Setoran 2'!O72</f>
        <v>0</v>
      </c>
      <c r="AP72" s="19">
        <f t="shared" si="24"/>
        <v>0</v>
      </c>
      <c r="AQ72" s="19">
        <f t="shared" si="25"/>
        <v>0</v>
      </c>
      <c r="AR72" s="38">
        <f>'Setoran 2'!P72</f>
        <v>0</v>
      </c>
      <c r="AS72" s="19">
        <f t="shared" si="26"/>
        <v>0</v>
      </c>
      <c r="AT72" s="19">
        <f t="shared" si="27"/>
        <v>0</v>
      </c>
      <c r="AU72" s="38">
        <f>'Setoran 2'!Q72</f>
        <v>0</v>
      </c>
      <c r="AV72" s="19">
        <f t="shared" si="28"/>
        <v>0</v>
      </c>
      <c r="AW72" s="19">
        <f t="shared" si="29"/>
        <v>0</v>
      </c>
      <c r="AX72" s="39">
        <f t="shared" si="30"/>
        <v>0</v>
      </c>
      <c r="AY72" s="38">
        <f t="shared" si="31"/>
        <v>0</v>
      </c>
      <c r="AZ72" s="21">
        <f t="shared" si="32"/>
        <v>0</v>
      </c>
      <c r="BA72" s="22">
        <f t="shared" si="33"/>
        <v>0</v>
      </c>
    </row>
    <row r="73" spans="1:53" ht="14.5" customHeight="1" x14ac:dyDescent="0.2">
      <c r="A73" s="71">
        <v>10</v>
      </c>
      <c r="B73" s="53" t="s">
        <v>50</v>
      </c>
      <c r="C73" s="57">
        <f>'Data '!C69</f>
        <v>200</v>
      </c>
      <c r="D73" s="57">
        <f>'Data '!D69</f>
        <v>300</v>
      </c>
      <c r="E73" s="39">
        <f>'Setoran 2'!C73</f>
        <v>0</v>
      </c>
      <c r="F73" s="19">
        <f t="shared" ref="F73:F75" si="34">E73*$C73</f>
        <v>0</v>
      </c>
      <c r="G73" s="19">
        <f t="shared" ref="G73:G75" si="35">E73*$D73</f>
        <v>0</v>
      </c>
      <c r="H73" s="39">
        <f>'Setoran 2'!D73</f>
        <v>0</v>
      </c>
      <c r="I73" s="19">
        <f t="shared" ref="I73:I75" si="36">H73*$C73</f>
        <v>0</v>
      </c>
      <c r="J73" s="19">
        <f t="shared" ref="J73:J75" si="37">H73*$D73</f>
        <v>0</v>
      </c>
      <c r="K73" s="39">
        <f>'Setoran 2'!E73</f>
        <v>0</v>
      </c>
      <c r="L73" s="19">
        <f t="shared" ref="L73:L75" si="38">K73*$C73</f>
        <v>0</v>
      </c>
      <c r="M73" s="19">
        <f t="shared" ref="M73:M75" si="39">K73*$D73</f>
        <v>0</v>
      </c>
      <c r="N73" s="39">
        <f>'Setoran 2'!F73</f>
        <v>0</v>
      </c>
      <c r="O73" s="19">
        <f t="shared" ref="O73:O75" si="40">N73*$C73</f>
        <v>0</v>
      </c>
      <c r="P73" s="19">
        <f t="shared" ref="P73:P75" si="41">N73*$D73</f>
        <v>0</v>
      </c>
      <c r="Q73" s="39">
        <f>'Setoran 2'!G73</f>
        <v>0</v>
      </c>
      <c r="R73" s="19">
        <f t="shared" ref="R73:R75" si="42">Q73*$C73</f>
        <v>0</v>
      </c>
      <c r="S73" s="19">
        <f t="shared" ref="S73:S75" si="43">Q73*$D73</f>
        <v>0</v>
      </c>
      <c r="T73" s="39">
        <f>'Setoran 2'!H73</f>
        <v>0</v>
      </c>
      <c r="U73" s="19">
        <f t="shared" ref="U73:U75" si="44">T73*$C73</f>
        <v>0</v>
      </c>
      <c r="V73" s="19">
        <f t="shared" ref="V73:V75" si="45">T73*$D73</f>
        <v>0</v>
      </c>
      <c r="W73" s="39">
        <f>'Setoran 2'!I73</f>
        <v>0</v>
      </c>
      <c r="X73" s="19">
        <f t="shared" ref="X73:X75" si="46">W73*$C73</f>
        <v>0</v>
      </c>
      <c r="Y73" s="19">
        <f t="shared" ref="Y73:Y75" si="47">W73*$D73</f>
        <v>0</v>
      </c>
      <c r="Z73" s="39">
        <f>'Setoran 2'!J73</f>
        <v>0</v>
      </c>
      <c r="AA73" s="19">
        <f t="shared" ref="AA73:AA75" si="48">Z73*$C73</f>
        <v>0</v>
      </c>
      <c r="AB73" s="19">
        <f t="shared" ref="AB73:AB75" si="49">Z73*$D73</f>
        <v>0</v>
      </c>
      <c r="AC73" s="39">
        <f>'Setoran 2'!K73</f>
        <v>0</v>
      </c>
      <c r="AD73" s="19">
        <f t="shared" ref="AD73:AD75" si="50">AC73*$C73</f>
        <v>0</v>
      </c>
      <c r="AE73" s="19">
        <f t="shared" ref="AE73:AE75" si="51">AC73*$D73</f>
        <v>0</v>
      </c>
      <c r="AF73" s="38">
        <f>'Setoran 2'!L73</f>
        <v>0</v>
      </c>
      <c r="AG73" s="19">
        <f t="shared" ref="AG73:AG75" si="52">AF73*$C73</f>
        <v>0</v>
      </c>
      <c r="AH73" s="19">
        <f t="shared" ref="AH73:AH75" si="53">AF73*$D73</f>
        <v>0</v>
      </c>
      <c r="AI73" s="38">
        <f>'Setoran 2'!M73</f>
        <v>0</v>
      </c>
      <c r="AJ73" s="19">
        <f t="shared" ref="AJ73:AJ75" si="54">AI73*$C73</f>
        <v>0</v>
      </c>
      <c r="AK73" s="19">
        <f t="shared" ref="AK73:AK75" si="55">AI73*$D73</f>
        <v>0</v>
      </c>
      <c r="AL73" s="38">
        <f>'Setoran 2'!N73</f>
        <v>0</v>
      </c>
      <c r="AM73" s="19">
        <f t="shared" ref="AM73:AM75" si="56">AL73*$C73</f>
        <v>0</v>
      </c>
      <c r="AN73" s="19">
        <f t="shared" ref="AN73:AN75" si="57">AL73*$D73</f>
        <v>0</v>
      </c>
      <c r="AO73" s="38">
        <f>'Setoran 2'!O73</f>
        <v>0</v>
      </c>
      <c r="AP73" s="19">
        <f t="shared" ref="AP73:AP75" si="58">AO73*$C73</f>
        <v>0</v>
      </c>
      <c r="AQ73" s="19">
        <f t="shared" ref="AQ73:AQ75" si="59">AO73*$D73</f>
        <v>0</v>
      </c>
      <c r="AR73" s="38">
        <f>'Setoran 2'!P73</f>
        <v>0</v>
      </c>
      <c r="AS73" s="19">
        <f t="shared" ref="AS73:AS75" si="60">AR73*$C73</f>
        <v>0</v>
      </c>
      <c r="AT73" s="19">
        <f t="shared" ref="AT73:AT75" si="61">AR73*$D73</f>
        <v>0</v>
      </c>
      <c r="AU73" s="38">
        <f>'Setoran 2'!Q73</f>
        <v>0</v>
      </c>
      <c r="AV73" s="19">
        <f t="shared" ref="AV73:AV75" si="62">AU73*$C73</f>
        <v>0</v>
      </c>
      <c r="AW73" s="19">
        <f t="shared" ref="AW73:AW75" si="63">AU73*$D73</f>
        <v>0</v>
      </c>
      <c r="AX73" s="39">
        <f t="shared" ref="AX73:AX75" si="64">SUM(E73,H73,K73,N73,Q73,T73,W73,Z73,AC73,AF73,AI73,AL73,AO73,AR73,AU73)</f>
        <v>0</v>
      </c>
      <c r="AY73" s="38">
        <f t="shared" ref="AY73:AY75" si="65">SUM(F73,I73,L73,O73,R73,U73,X73,AA73,AD73,,AG73,AJ73,AM73,AP73,AS73,AV73)</f>
        <v>0</v>
      </c>
      <c r="AZ73" s="21">
        <f t="shared" ref="AZ73:AZ75" si="66">SUM(G73,J73,M73,P73,S73,V73,Y73,AB73,AE73,AH73,AK73,AN73,AQ73,AT73,AW73)</f>
        <v>0</v>
      </c>
      <c r="BA73" s="22">
        <f t="shared" ref="BA73:BA75" si="67">AZ73-AY73</f>
        <v>0</v>
      </c>
    </row>
    <row r="74" spans="1:53" ht="14.5" customHeight="1" x14ac:dyDescent="0.2">
      <c r="A74" s="71">
        <v>11</v>
      </c>
      <c r="B74" s="53" t="s">
        <v>106</v>
      </c>
      <c r="C74" s="57">
        <f>'Data '!C70</f>
        <v>400</v>
      </c>
      <c r="D74" s="57">
        <f>'Data '!D70</f>
        <v>500</v>
      </c>
      <c r="E74" s="39">
        <f>'Setoran 2'!C74</f>
        <v>0</v>
      </c>
      <c r="F74" s="19">
        <f t="shared" si="34"/>
        <v>0</v>
      </c>
      <c r="G74" s="19">
        <f t="shared" si="35"/>
        <v>0</v>
      </c>
      <c r="H74" s="39">
        <f>'Setoran 2'!D74</f>
        <v>0</v>
      </c>
      <c r="I74" s="19">
        <f t="shared" si="36"/>
        <v>0</v>
      </c>
      <c r="J74" s="19">
        <f t="shared" si="37"/>
        <v>0</v>
      </c>
      <c r="K74" s="39">
        <f>'Setoran 2'!E74</f>
        <v>0</v>
      </c>
      <c r="L74" s="19">
        <f t="shared" si="38"/>
        <v>0</v>
      </c>
      <c r="M74" s="19">
        <f t="shared" si="39"/>
        <v>0</v>
      </c>
      <c r="N74" s="39">
        <f>'Setoran 2'!F74</f>
        <v>0</v>
      </c>
      <c r="O74" s="19">
        <f t="shared" si="40"/>
        <v>0</v>
      </c>
      <c r="P74" s="19">
        <f t="shared" si="41"/>
        <v>0</v>
      </c>
      <c r="Q74" s="39">
        <f>'Setoran 2'!G74</f>
        <v>0</v>
      </c>
      <c r="R74" s="19">
        <f t="shared" si="42"/>
        <v>0</v>
      </c>
      <c r="S74" s="19">
        <f t="shared" si="43"/>
        <v>0</v>
      </c>
      <c r="T74" s="39">
        <f>'Setoran 2'!H74</f>
        <v>0</v>
      </c>
      <c r="U74" s="19">
        <f t="shared" si="44"/>
        <v>0</v>
      </c>
      <c r="V74" s="19">
        <f t="shared" si="45"/>
        <v>0</v>
      </c>
      <c r="W74" s="39">
        <f>'Setoran 2'!I74</f>
        <v>0</v>
      </c>
      <c r="X74" s="19">
        <f t="shared" si="46"/>
        <v>0</v>
      </c>
      <c r="Y74" s="19">
        <f t="shared" si="47"/>
        <v>0</v>
      </c>
      <c r="Z74" s="39">
        <f>'Setoran 2'!J74</f>
        <v>0</v>
      </c>
      <c r="AA74" s="19">
        <f t="shared" si="48"/>
        <v>0</v>
      </c>
      <c r="AB74" s="19">
        <f t="shared" si="49"/>
        <v>0</v>
      </c>
      <c r="AC74" s="39">
        <f>'Setoran 2'!K74</f>
        <v>0</v>
      </c>
      <c r="AD74" s="19">
        <f t="shared" si="50"/>
        <v>0</v>
      </c>
      <c r="AE74" s="19">
        <f t="shared" si="51"/>
        <v>0</v>
      </c>
      <c r="AF74" s="38">
        <f>'Setoran 2'!L74</f>
        <v>0</v>
      </c>
      <c r="AG74" s="19">
        <f t="shared" si="52"/>
        <v>0</v>
      </c>
      <c r="AH74" s="19">
        <f t="shared" si="53"/>
        <v>0</v>
      </c>
      <c r="AI74" s="38">
        <f>'Setoran 2'!M74</f>
        <v>0</v>
      </c>
      <c r="AJ74" s="19">
        <f t="shared" si="54"/>
        <v>0</v>
      </c>
      <c r="AK74" s="19">
        <f t="shared" si="55"/>
        <v>0</v>
      </c>
      <c r="AL74" s="38">
        <f>'Setoran 2'!N74</f>
        <v>0</v>
      </c>
      <c r="AM74" s="19">
        <f t="shared" si="56"/>
        <v>0</v>
      </c>
      <c r="AN74" s="19">
        <f t="shared" si="57"/>
        <v>0</v>
      </c>
      <c r="AO74" s="38">
        <f>'Setoran 2'!O74</f>
        <v>0</v>
      </c>
      <c r="AP74" s="19">
        <f t="shared" si="58"/>
        <v>0</v>
      </c>
      <c r="AQ74" s="19">
        <f t="shared" si="59"/>
        <v>0</v>
      </c>
      <c r="AR74" s="38">
        <f>'Setoran 2'!P74</f>
        <v>0</v>
      </c>
      <c r="AS74" s="19">
        <f t="shared" si="60"/>
        <v>0</v>
      </c>
      <c r="AT74" s="19">
        <f t="shared" si="61"/>
        <v>0</v>
      </c>
      <c r="AU74" s="38">
        <f>'Setoran 2'!Q74</f>
        <v>0</v>
      </c>
      <c r="AV74" s="19">
        <f t="shared" si="62"/>
        <v>0</v>
      </c>
      <c r="AW74" s="19">
        <f t="shared" si="63"/>
        <v>0</v>
      </c>
      <c r="AX74" s="39">
        <f t="shared" si="64"/>
        <v>0</v>
      </c>
      <c r="AY74" s="38">
        <f t="shared" si="65"/>
        <v>0</v>
      </c>
      <c r="AZ74" s="21">
        <f t="shared" si="66"/>
        <v>0</v>
      </c>
      <c r="BA74" s="22">
        <f t="shared" si="67"/>
        <v>0</v>
      </c>
    </row>
    <row r="75" spans="1:53" ht="14.5" customHeight="1" x14ac:dyDescent="0.2">
      <c r="A75" s="71">
        <v>12</v>
      </c>
      <c r="B75" s="53" t="s">
        <v>108</v>
      </c>
      <c r="C75" s="57">
        <f>'Data '!C71</f>
        <v>0</v>
      </c>
      <c r="D75" s="57">
        <f>'Data '!D71</f>
        <v>0</v>
      </c>
      <c r="E75" s="39">
        <f>'Setoran 2'!C75</f>
        <v>0</v>
      </c>
      <c r="F75" s="19">
        <f t="shared" si="34"/>
        <v>0</v>
      </c>
      <c r="G75" s="19">
        <f t="shared" si="35"/>
        <v>0</v>
      </c>
      <c r="H75" s="39">
        <f>'Setoran 2'!D75</f>
        <v>0</v>
      </c>
      <c r="I75" s="19">
        <f t="shared" si="36"/>
        <v>0</v>
      </c>
      <c r="J75" s="19">
        <f t="shared" si="37"/>
        <v>0</v>
      </c>
      <c r="K75" s="39">
        <f>'Setoran 2'!E75</f>
        <v>0</v>
      </c>
      <c r="L75" s="19">
        <f t="shared" si="38"/>
        <v>0</v>
      </c>
      <c r="M75" s="19">
        <f t="shared" si="39"/>
        <v>0</v>
      </c>
      <c r="N75" s="39">
        <f>'Setoran 2'!F75</f>
        <v>0</v>
      </c>
      <c r="O75" s="19">
        <f t="shared" si="40"/>
        <v>0</v>
      </c>
      <c r="P75" s="19">
        <f t="shared" si="41"/>
        <v>0</v>
      </c>
      <c r="Q75" s="39">
        <f>'Setoran 2'!G75</f>
        <v>0</v>
      </c>
      <c r="R75" s="19">
        <f t="shared" si="42"/>
        <v>0</v>
      </c>
      <c r="S75" s="19">
        <f t="shared" si="43"/>
        <v>0</v>
      </c>
      <c r="T75" s="39">
        <f>'Setoran 2'!H75</f>
        <v>0</v>
      </c>
      <c r="U75" s="19">
        <f t="shared" si="44"/>
        <v>0</v>
      </c>
      <c r="V75" s="19">
        <f t="shared" si="45"/>
        <v>0</v>
      </c>
      <c r="W75" s="39">
        <f>'Setoran 2'!I75</f>
        <v>0</v>
      </c>
      <c r="X75" s="19">
        <f t="shared" si="46"/>
        <v>0</v>
      </c>
      <c r="Y75" s="19">
        <f t="shared" si="47"/>
        <v>0</v>
      </c>
      <c r="Z75" s="39">
        <f>'Setoran 2'!J75</f>
        <v>0</v>
      </c>
      <c r="AA75" s="19">
        <f t="shared" si="48"/>
        <v>0</v>
      </c>
      <c r="AB75" s="19">
        <f t="shared" si="49"/>
        <v>0</v>
      </c>
      <c r="AC75" s="39">
        <f>'Setoran 2'!K75</f>
        <v>0</v>
      </c>
      <c r="AD75" s="19">
        <f t="shared" si="50"/>
        <v>0</v>
      </c>
      <c r="AE75" s="19">
        <f t="shared" si="51"/>
        <v>0</v>
      </c>
      <c r="AF75" s="38">
        <f>'Setoran 2'!L75</f>
        <v>0</v>
      </c>
      <c r="AG75" s="19">
        <f t="shared" si="52"/>
        <v>0</v>
      </c>
      <c r="AH75" s="19">
        <f t="shared" si="53"/>
        <v>0</v>
      </c>
      <c r="AI75" s="38">
        <f>'Setoran 2'!M75</f>
        <v>0</v>
      </c>
      <c r="AJ75" s="19">
        <f t="shared" si="54"/>
        <v>0</v>
      </c>
      <c r="AK75" s="19">
        <f t="shared" si="55"/>
        <v>0</v>
      </c>
      <c r="AL75" s="38">
        <f>'Setoran 2'!N75</f>
        <v>0</v>
      </c>
      <c r="AM75" s="19">
        <f t="shared" si="56"/>
        <v>0</v>
      </c>
      <c r="AN75" s="19">
        <f t="shared" si="57"/>
        <v>0</v>
      </c>
      <c r="AO75" s="38">
        <f>'Setoran 2'!O75</f>
        <v>0</v>
      </c>
      <c r="AP75" s="19">
        <f t="shared" si="58"/>
        <v>0</v>
      </c>
      <c r="AQ75" s="19">
        <f t="shared" si="59"/>
        <v>0</v>
      </c>
      <c r="AR75" s="38">
        <f>'Setoran 2'!P75</f>
        <v>0</v>
      </c>
      <c r="AS75" s="19">
        <f t="shared" si="60"/>
        <v>0</v>
      </c>
      <c r="AT75" s="19">
        <f t="shared" si="61"/>
        <v>0</v>
      </c>
      <c r="AU75" s="38">
        <f>'Setoran 2'!Q75</f>
        <v>0</v>
      </c>
      <c r="AV75" s="19">
        <f t="shared" si="62"/>
        <v>0</v>
      </c>
      <c r="AW75" s="19">
        <f t="shared" si="63"/>
        <v>0</v>
      </c>
      <c r="AX75" s="39">
        <f t="shared" si="64"/>
        <v>0</v>
      </c>
      <c r="AY75" s="38">
        <f t="shared" si="65"/>
        <v>0</v>
      </c>
      <c r="AZ75" s="21">
        <f t="shared" si="66"/>
        <v>0</v>
      </c>
      <c r="BA75" s="22">
        <f t="shared" si="67"/>
        <v>0</v>
      </c>
    </row>
    <row r="76" spans="1:53" ht="14.5" customHeight="1" x14ac:dyDescent="0.2">
      <c r="A76" s="72"/>
      <c r="B76" s="63"/>
      <c r="C76" s="67"/>
      <c r="D76" s="62"/>
      <c r="E76" s="39"/>
      <c r="F76" s="19"/>
      <c r="G76" s="19"/>
      <c r="H76" s="39"/>
      <c r="I76" s="19"/>
      <c r="J76" s="19"/>
      <c r="K76" s="39"/>
      <c r="L76" s="19"/>
      <c r="M76" s="19"/>
      <c r="N76" s="39"/>
      <c r="O76" s="19"/>
      <c r="P76" s="19"/>
      <c r="Q76" s="39"/>
      <c r="R76" s="19"/>
      <c r="S76" s="19"/>
      <c r="T76" s="39"/>
      <c r="U76" s="19"/>
      <c r="V76" s="19"/>
      <c r="W76" s="39"/>
      <c r="X76" s="19"/>
      <c r="Y76" s="19"/>
      <c r="Z76" s="39"/>
      <c r="AA76" s="19"/>
      <c r="AB76" s="19"/>
      <c r="AC76" s="39"/>
      <c r="AD76" s="19"/>
      <c r="AE76" s="19"/>
      <c r="AF76" s="38"/>
      <c r="AG76" s="19"/>
      <c r="AH76" s="19"/>
      <c r="AI76" s="38"/>
      <c r="AJ76" s="19"/>
      <c r="AK76" s="19"/>
      <c r="AL76" s="38"/>
      <c r="AM76" s="19"/>
      <c r="AN76" s="19"/>
      <c r="AO76" s="38"/>
      <c r="AP76" s="19"/>
      <c r="AQ76" s="19"/>
      <c r="AR76" s="38"/>
      <c r="AS76" s="19"/>
      <c r="AT76" s="19"/>
      <c r="AU76" s="38"/>
      <c r="AV76" s="19"/>
      <c r="AW76" s="19"/>
      <c r="AX76" s="39"/>
      <c r="AY76" s="38"/>
      <c r="AZ76" s="21"/>
      <c r="BA76" s="22"/>
    </row>
    <row r="77" spans="1:53" s="36" customFormat="1" ht="14.5" customHeight="1" x14ac:dyDescent="0.2">
      <c r="A77" s="78" t="str">
        <f>'Data '!A74</f>
        <v>TOTAL</v>
      </c>
      <c r="B77" s="78"/>
      <c r="C77" s="78"/>
      <c r="D77" s="78"/>
      <c r="E77" s="33">
        <f t="shared" ref="E77:AW77" si="68">SUM(E8:E75)</f>
        <v>0</v>
      </c>
      <c r="F77" s="34">
        <f t="shared" si="68"/>
        <v>0</v>
      </c>
      <c r="G77" s="34">
        <f t="shared" si="68"/>
        <v>0</v>
      </c>
      <c r="H77" s="33">
        <f t="shared" si="68"/>
        <v>0</v>
      </c>
      <c r="I77" s="34">
        <f t="shared" si="68"/>
        <v>0</v>
      </c>
      <c r="J77" s="34">
        <f t="shared" si="68"/>
        <v>0</v>
      </c>
      <c r="K77" s="33">
        <f t="shared" si="68"/>
        <v>0</v>
      </c>
      <c r="L77" s="34">
        <f t="shared" si="68"/>
        <v>0</v>
      </c>
      <c r="M77" s="34">
        <f t="shared" si="68"/>
        <v>0</v>
      </c>
      <c r="N77" s="33">
        <f t="shared" si="68"/>
        <v>0</v>
      </c>
      <c r="O77" s="34">
        <f t="shared" si="68"/>
        <v>0</v>
      </c>
      <c r="P77" s="34">
        <f t="shared" si="68"/>
        <v>0</v>
      </c>
      <c r="Q77" s="33">
        <f t="shared" si="68"/>
        <v>0</v>
      </c>
      <c r="R77" s="34">
        <f t="shared" si="68"/>
        <v>0</v>
      </c>
      <c r="S77" s="34">
        <f t="shared" si="68"/>
        <v>0</v>
      </c>
      <c r="T77" s="33">
        <f t="shared" si="68"/>
        <v>0</v>
      </c>
      <c r="U77" s="34">
        <f t="shared" si="68"/>
        <v>0</v>
      </c>
      <c r="V77" s="34">
        <f t="shared" si="68"/>
        <v>0</v>
      </c>
      <c r="W77" s="33">
        <f t="shared" si="68"/>
        <v>0</v>
      </c>
      <c r="X77" s="34">
        <f t="shared" si="68"/>
        <v>0</v>
      </c>
      <c r="Y77" s="34">
        <f t="shared" si="68"/>
        <v>0</v>
      </c>
      <c r="Z77" s="33">
        <f t="shared" si="68"/>
        <v>0</v>
      </c>
      <c r="AA77" s="34">
        <f t="shared" si="68"/>
        <v>0</v>
      </c>
      <c r="AB77" s="34">
        <f t="shared" si="68"/>
        <v>0</v>
      </c>
      <c r="AC77" s="33">
        <f t="shared" si="68"/>
        <v>0</v>
      </c>
      <c r="AD77" s="34">
        <f t="shared" si="68"/>
        <v>0</v>
      </c>
      <c r="AE77" s="34">
        <f t="shared" si="68"/>
        <v>0</v>
      </c>
      <c r="AF77" s="33">
        <f t="shared" si="68"/>
        <v>0</v>
      </c>
      <c r="AG77" s="34">
        <f t="shared" si="68"/>
        <v>0</v>
      </c>
      <c r="AH77" s="34">
        <f t="shared" si="68"/>
        <v>0</v>
      </c>
      <c r="AI77" s="33">
        <f t="shared" si="68"/>
        <v>0</v>
      </c>
      <c r="AJ77" s="34">
        <f t="shared" si="68"/>
        <v>0</v>
      </c>
      <c r="AK77" s="34">
        <f t="shared" si="68"/>
        <v>0</v>
      </c>
      <c r="AL77" s="33">
        <f t="shared" si="68"/>
        <v>0</v>
      </c>
      <c r="AM77" s="34">
        <f t="shared" si="68"/>
        <v>0</v>
      </c>
      <c r="AN77" s="34">
        <f t="shared" si="68"/>
        <v>0</v>
      </c>
      <c r="AO77" s="33">
        <f t="shared" si="68"/>
        <v>0</v>
      </c>
      <c r="AP77" s="34">
        <f t="shared" si="68"/>
        <v>0</v>
      </c>
      <c r="AQ77" s="34">
        <f t="shared" si="68"/>
        <v>0</v>
      </c>
      <c r="AR77" s="33">
        <f t="shared" si="68"/>
        <v>0</v>
      </c>
      <c r="AS77" s="34">
        <f t="shared" si="68"/>
        <v>0</v>
      </c>
      <c r="AT77" s="34">
        <f t="shared" si="68"/>
        <v>0</v>
      </c>
      <c r="AU77" s="35">
        <f t="shared" si="68"/>
        <v>0</v>
      </c>
      <c r="AV77" s="34">
        <f t="shared" si="68"/>
        <v>0</v>
      </c>
      <c r="AW77" s="34">
        <f t="shared" si="68"/>
        <v>0</v>
      </c>
      <c r="AX77" s="33">
        <f>SUM(AX8:AX75)</f>
        <v>0</v>
      </c>
      <c r="AY77" s="33">
        <f>SUM(AY8:AY75)</f>
        <v>0</v>
      </c>
      <c r="AZ77" s="34">
        <f>SUM(AZ8:AZ75)</f>
        <v>0</v>
      </c>
      <c r="BA77" s="34">
        <f>SUM(BA8:BA75)</f>
        <v>0</v>
      </c>
    </row>
    <row r="78" spans="1:53" ht="14.5" customHeight="1" x14ac:dyDescent="0.2">
      <c r="A78" s="5" t="s">
        <v>54</v>
      </c>
      <c r="B78" s="5"/>
      <c r="C78" s="44"/>
      <c r="D78" s="44"/>
      <c r="E78" s="18"/>
      <c r="F78" s="19"/>
      <c r="G78" s="19"/>
      <c r="H78" s="18"/>
      <c r="I78" s="19"/>
      <c r="J78" s="19"/>
      <c r="K78" s="18"/>
      <c r="L78" s="19"/>
      <c r="M78" s="19"/>
      <c r="N78" s="18"/>
      <c r="O78" s="19"/>
      <c r="P78" s="19"/>
      <c r="Q78" s="18"/>
      <c r="R78" s="19"/>
      <c r="S78" s="19"/>
      <c r="T78" s="18"/>
      <c r="U78" s="19"/>
      <c r="V78" s="19"/>
      <c r="W78" s="18"/>
      <c r="X78" s="19"/>
      <c r="Y78" s="19"/>
      <c r="Z78" s="18"/>
      <c r="AA78" s="19"/>
      <c r="AB78" s="19"/>
      <c r="AC78" s="18"/>
      <c r="AD78" s="19"/>
      <c r="AE78" s="19"/>
      <c r="AF78" s="31"/>
      <c r="AG78" s="19"/>
      <c r="AH78" s="19"/>
      <c r="AI78" s="31"/>
      <c r="AJ78" s="19"/>
      <c r="AK78" s="19"/>
      <c r="AL78" s="31"/>
      <c r="AM78" s="19"/>
      <c r="AN78" s="19"/>
      <c r="AO78" s="31"/>
      <c r="AP78" s="19"/>
      <c r="AQ78" s="19"/>
      <c r="AR78" s="31"/>
      <c r="AS78" s="19"/>
      <c r="AT78" s="19"/>
      <c r="AU78" s="31"/>
      <c r="AV78" s="19"/>
      <c r="AW78" s="19"/>
      <c r="AX78" s="27"/>
      <c r="AY78" s="20"/>
      <c r="AZ78" s="21"/>
      <c r="BA78" s="28"/>
    </row>
    <row r="79" spans="1:53" ht="14.5" customHeight="1" x14ac:dyDescent="0.2">
      <c r="A79" s="27"/>
      <c r="B79" s="28"/>
      <c r="C79" s="46"/>
      <c r="D79" s="46"/>
      <c r="E79" s="18"/>
      <c r="F79" s="19"/>
      <c r="G79" s="19"/>
      <c r="H79" s="18"/>
      <c r="I79" s="19"/>
      <c r="J79" s="19"/>
      <c r="K79" s="18"/>
      <c r="L79" s="19"/>
      <c r="M79" s="19"/>
      <c r="N79" s="18"/>
      <c r="O79" s="19"/>
      <c r="P79" s="19"/>
      <c r="Q79" s="18"/>
      <c r="R79" s="19"/>
      <c r="S79" s="19"/>
      <c r="T79" s="18"/>
      <c r="U79" s="19"/>
      <c r="V79" s="19"/>
      <c r="W79" s="18"/>
      <c r="X79" s="19"/>
      <c r="Y79" s="19"/>
      <c r="Z79" s="18"/>
      <c r="AA79" s="19"/>
      <c r="AB79" s="19"/>
      <c r="AC79" s="18"/>
      <c r="AD79" s="19"/>
      <c r="AE79" s="19"/>
      <c r="AF79" s="31"/>
      <c r="AG79" s="19"/>
      <c r="AH79" s="19"/>
      <c r="AI79" s="31"/>
      <c r="AJ79" s="19"/>
      <c r="AK79" s="19"/>
      <c r="AL79" s="31"/>
      <c r="AM79" s="19"/>
      <c r="AN79" s="19"/>
      <c r="AO79" s="31"/>
      <c r="AP79" s="19"/>
      <c r="AQ79" s="19"/>
      <c r="AR79" s="31"/>
      <c r="AS79" s="19"/>
      <c r="AT79" s="19"/>
      <c r="AU79" s="31"/>
      <c r="AV79" s="19"/>
      <c r="AW79" s="19"/>
      <c r="AX79" s="27"/>
      <c r="AY79" s="20"/>
      <c r="AZ79" s="21"/>
      <c r="BA79" s="28"/>
    </row>
    <row r="80" spans="1:53" ht="14.5" customHeight="1" x14ac:dyDescent="0.2">
      <c r="A80" s="27"/>
      <c r="B80" s="28"/>
      <c r="C80" s="46"/>
      <c r="D80" s="46"/>
      <c r="E80" s="18"/>
      <c r="F80" s="19"/>
      <c r="G80" s="19"/>
      <c r="H80" s="18"/>
      <c r="I80" s="19"/>
      <c r="J80" s="19"/>
      <c r="K80" s="18"/>
      <c r="L80" s="19"/>
      <c r="M80" s="19"/>
      <c r="N80" s="18"/>
      <c r="O80" s="19"/>
      <c r="P80" s="19"/>
      <c r="Q80" s="18"/>
      <c r="R80" s="19"/>
      <c r="S80" s="19"/>
      <c r="T80" s="18"/>
      <c r="U80" s="19"/>
      <c r="V80" s="19"/>
      <c r="W80" s="18"/>
      <c r="X80" s="19"/>
      <c r="Y80" s="19"/>
      <c r="Z80" s="18"/>
      <c r="AA80" s="19"/>
      <c r="AB80" s="19"/>
      <c r="AC80" s="18"/>
      <c r="AD80" s="19"/>
      <c r="AE80" s="19"/>
      <c r="AF80" s="31"/>
      <c r="AG80" s="19"/>
      <c r="AH80" s="19"/>
      <c r="AI80" s="31"/>
      <c r="AJ80" s="19"/>
      <c r="AK80" s="19"/>
      <c r="AL80" s="31"/>
      <c r="AM80" s="19"/>
      <c r="AN80" s="19"/>
      <c r="AO80" s="31"/>
      <c r="AP80" s="19"/>
      <c r="AQ80" s="19"/>
      <c r="AR80" s="31"/>
      <c r="AS80" s="19"/>
      <c r="AT80" s="19"/>
      <c r="AU80" s="31"/>
      <c r="AV80" s="19"/>
      <c r="AW80" s="19"/>
      <c r="AX80" s="27"/>
      <c r="AY80" s="20"/>
      <c r="AZ80" s="21"/>
      <c r="BA80" s="28"/>
    </row>
  </sheetData>
  <mergeCells count="31">
    <mergeCell ref="T5:V5"/>
    <mergeCell ref="A1:V1"/>
    <mergeCell ref="A2:L2"/>
    <mergeCell ref="A4:A6"/>
    <mergeCell ref="B4:B6"/>
    <mergeCell ref="C4:C6"/>
    <mergeCell ref="D4:D6"/>
    <mergeCell ref="E4:AW4"/>
    <mergeCell ref="W5:Y5"/>
    <mergeCell ref="Z5:AB5"/>
    <mergeCell ref="AC5:AE5"/>
    <mergeCell ref="E5:G5"/>
    <mergeCell ref="H5:J5"/>
    <mergeCell ref="K5:M5"/>
    <mergeCell ref="N5:P5"/>
    <mergeCell ref="Q5:S5"/>
    <mergeCell ref="AU5:AW5"/>
    <mergeCell ref="AX4:AX6"/>
    <mergeCell ref="AY4:AY6"/>
    <mergeCell ref="AZ4:AZ6"/>
    <mergeCell ref="BA4:BA6"/>
    <mergeCell ref="AF5:AH5"/>
    <mergeCell ref="AI5:AK5"/>
    <mergeCell ref="AL5:AN5"/>
    <mergeCell ref="AO5:AQ5"/>
    <mergeCell ref="AR5:AT5"/>
    <mergeCell ref="A77:D77"/>
    <mergeCell ref="A7:B7"/>
    <mergeCell ref="A15:B15"/>
    <mergeCell ref="A27:B27"/>
    <mergeCell ref="A31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F157-F16A-4B62-A9F1-09729F024C69}">
  <dimension ref="A1:BA80"/>
  <sheetViews>
    <sheetView workbookViewId="0">
      <pane xSplit="4" ySplit="6" topLeftCell="AX71" activePane="bottomRight" state="frozen"/>
      <selection pane="topRight" activeCell="E1" sqref="E1"/>
      <selection pane="bottomLeft" activeCell="A7" sqref="A7"/>
      <selection pane="bottomRight" activeCell="G70" sqref="G70"/>
    </sheetView>
  </sheetViews>
  <sheetFormatPr baseColWidth="10" defaultColWidth="8.83203125" defaultRowHeight="15" x14ac:dyDescent="0.2"/>
  <cols>
    <col min="1" max="1" width="9.5" style="15" customWidth="1"/>
    <col min="2" max="2" width="18.33203125" style="15" customWidth="1"/>
    <col min="3" max="3" width="8.83203125" style="47"/>
    <col min="4" max="4" width="11.5" style="47" bestFit="1" customWidth="1"/>
    <col min="5" max="5" width="8.83203125" style="10"/>
    <col min="6" max="7" width="10.6640625" style="11" customWidth="1"/>
    <col min="8" max="8" width="8.83203125" style="10"/>
    <col min="9" max="10" width="10.6640625" style="11" customWidth="1"/>
    <col min="11" max="11" width="8.83203125" style="10"/>
    <col min="12" max="13" width="10.6640625" style="11" customWidth="1"/>
    <col min="14" max="14" width="8.83203125" style="10"/>
    <col min="15" max="16" width="10.6640625" style="11" customWidth="1"/>
    <col min="17" max="17" width="8.83203125" style="10"/>
    <col min="18" max="19" width="10.6640625" style="11" customWidth="1"/>
    <col min="20" max="20" width="8.83203125" style="10"/>
    <col min="21" max="22" width="10.6640625" style="11" customWidth="1"/>
    <col min="23" max="23" width="8.83203125" style="10"/>
    <col min="24" max="25" width="10.6640625" style="11" customWidth="1"/>
    <col min="26" max="26" width="8.83203125" style="10"/>
    <col min="27" max="28" width="10.6640625" style="11" customWidth="1"/>
    <col min="29" max="29" width="8.83203125" style="10"/>
    <col min="30" max="31" width="10.6640625" style="11" customWidth="1"/>
    <col min="32" max="32" width="8.83203125" style="29"/>
    <col min="33" max="34" width="10.6640625" style="11" customWidth="1"/>
    <col min="35" max="35" width="8.83203125" style="29"/>
    <col min="36" max="37" width="10.6640625" style="11" customWidth="1"/>
    <col min="38" max="38" width="8.83203125" style="29"/>
    <col min="39" max="40" width="10.6640625" style="11" customWidth="1"/>
    <col min="41" max="41" width="8.83203125" style="29"/>
    <col min="42" max="43" width="10.6640625" style="11" customWidth="1"/>
    <col min="44" max="44" width="8.83203125" style="29"/>
    <col min="45" max="46" width="10.6640625" style="11" customWidth="1"/>
    <col min="47" max="47" width="8.83203125" style="29"/>
    <col min="48" max="49" width="10.6640625" style="11" customWidth="1"/>
    <col min="50" max="50" width="8.83203125" style="12"/>
    <col min="51" max="51" width="12.6640625" style="13" customWidth="1"/>
    <col min="52" max="52" width="12.6640625" style="14" customWidth="1"/>
    <col min="53" max="53" width="12.6640625" style="15" customWidth="1"/>
    <col min="54" max="16384" width="8.83203125" style="15"/>
  </cols>
  <sheetData>
    <row r="1" spans="1:53" ht="19" x14ac:dyDescent="0.2">
      <c r="A1" s="94" t="str">
        <f>'Setoran 1'!A1:R1</f>
        <v>REKAP JUAL BELI SAMPAH NASABAH BALI ARUM (BALI WASTE CYCLE)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</row>
    <row r="2" spans="1:53" ht="18" customHeight="1" x14ac:dyDescent="0.2">
      <c r="A2" s="94" t="str">
        <f>'Data '!A2</f>
        <v>TANGGAL : 8 Agustus2026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37"/>
      <c r="N2" s="37"/>
      <c r="O2" s="37"/>
      <c r="P2" s="37"/>
      <c r="Q2" s="37"/>
      <c r="R2" s="37"/>
      <c r="S2" s="37"/>
      <c r="T2" s="37"/>
      <c r="U2" s="37"/>
      <c r="V2" s="37"/>
    </row>
    <row r="4" spans="1:53" s="12" customFormat="1" ht="14.5" customHeight="1" x14ac:dyDescent="0.2">
      <c r="A4" s="83" t="s">
        <v>63</v>
      </c>
      <c r="B4" s="83" t="s">
        <v>62</v>
      </c>
      <c r="C4" s="95" t="s">
        <v>61</v>
      </c>
      <c r="D4" s="86" t="s">
        <v>3</v>
      </c>
      <c r="E4" s="98" t="s">
        <v>55</v>
      </c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81" t="s">
        <v>53</v>
      </c>
      <c r="AY4" s="93" t="s">
        <v>64</v>
      </c>
      <c r="AZ4" s="82" t="s">
        <v>65</v>
      </c>
      <c r="BA4" s="83" t="s">
        <v>66</v>
      </c>
    </row>
    <row r="5" spans="1:53" s="12" customFormat="1" ht="14.5" customHeight="1" x14ac:dyDescent="0.2">
      <c r="A5" s="83"/>
      <c r="B5" s="83"/>
      <c r="C5" s="96"/>
      <c r="D5" s="86"/>
      <c r="E5" s="92">
        <f>'Setoran 3'!C6</f>
        <v>0</v>
      </c>
      <c r="F5" s="92"/>
      <c r="G5" s="92"/>
      <c r="H5" s="92">
        <f>'Setoran 3'!D6</f>
        <v>0</v>
      </c>
      <c r="I5" s="92"/>
      <c r="J5" s="92"/>
      <c r="K5" s="92">
        <f>'Setoran 3'!E6</f>
        <v>0</v>
      </c>
      <c r="L5" s="92"/>
      <c r="M5" s="92"/>
      <c r="N5" s="92">
        <f>'Setoran 3'!F6</f>
        <v>0</v>
      </c>
      <c r="O5" s="92"/>
      <c r="P5" s="92"/>
      <c r="Q5" s="92">
        <f>'Setoran 3'!G6</f>
        <v>0</v>
      </c>
      <c r="R5" s="92"/>
      <c r="S5" s="92"/>
      <c r="T5" s="92">
        <f>'Setoran 3'!H6</f>
        <v>0</v>
      </c>
      <c r="U5" s="92"/>
      <c r="V5" s="92"/>
      <c r="W5" s="92">
        <f>'Setoran 3'!I6</f>
        <v>0</v>
      </c>
      <c r="X5" s="92"/>
      <c r="Y5" s="92"/>
      <c r="Z5" s="92">
        <f>'Setoran 3'!J6</f>
        <v>0</v>
      </c>
      <c r="AA5" s="92"/>
      <c r="AB5" s="92"/>
      <c r="AC5" s="92">
        <f>'Setoran 3'!K6</f>
        <v>0</v>
      </c>
      <c r="AD5" s="92"/>
      <c r="AE5" s="92"/>
      <c r="AF5" s="92">
        <f>'Setoran 3'!L6</f>
        <v>0</v>
      </c>
      <c r="AG5" s="92"/>
      <c r="AH5" s="92"/>
      <c r="AI5" s="92">
        <f>'Setoran 3'!M6</f>
        <v>0</v>
      </c>
      <c r="AJ5" s="92"/>
      <c r="AK5" s="92"/>
      <c r="AL5" s="92">
        <f>'Setoran 3'!N6</f>
        <v>0</v>
      </c>
      <c r="AM5" s="92"/>
      <c r="AN5" s="92"/>
      <c r="AO5" s="92">
        <f>'Setoran 3'!O6</f>
        <v>0</v>
      </c>
      <c r="AP5" s="92"/>
      <c r="AQ5" s="92"/>
      <c r="AR5" s="92">
        <f>'Setoran 3'!P6</f>
        <v>0</v>
      </c>
      <c r="AS5" s="92"/>
      <c r="AT5" s="92"/>
      <c r="AU5" s="92">
        <f>'Setoran 3'!Q6</f>
        <v>0</v>
      </c>
      <c r="AV5" s="92"/>
      <c r="AW5" s="92"/>
      <c r="AX5" s="81"/>
      <c r="AY5" s="93"/>
      <c r="AZ5" s="82"/>
      <c r="BA5" s="83"/>
    </row>
    <row r="6" spans="1:53" s="12" customFormat="1" ht="29" customHeight="1" x14ac:dyDescent="0.2">
      <c r="A6" s="83"/>
      <c r="B6" s="83"/>
      <c r="C6" s="97"/>
      <c r="D6" s="86"/>
      <c r="E6" s="16" t="s">
        <v>56</v>
      </c>
      <c r="F6" s="17" t="s">
        <v>58</v>
      </c>
      <c r="G6" s="17" t="s">
        <v>57</v>
      </c>
      <c r="H6" s="16" t="s">
        <v>56</v>
      </c>
      <c r="I6" s="17" t="s">
        <v>58</v>
      </c>
      <c r="J6" s="17" t="s">
        <v>57</v>
      </c>
      <c r="K6" s="16" t="s">
        <v>56</v>
      </c>
      <c r="L6" s="17" t="s">
        <v>58</v>
      </c>
      <c r="M6" s="17" t="s">
        <v>57</v>
      </c>
      <c r="N6" s="16" t="s">
        <v>56</v>
      </c>
      <c r="O6" s="17" t="s">
        <v>58</v>
      </c>
      <c r="P6" s="17" t="s">
        <v>57</v>
      </c>
      <c r="Q6" s="16" t="s">
        <v>56</v>
      </c>
      <c r="R6" s="17" t="s">
        <v>58</v>
      </c>
      <c r="S6" s="17" t="s">
        <v>57</v>
      </c>
      <c r="T6" s="16" t="s">
        <v>56</v>
      </c>
      <c r="U6" s="17" t="s">
        <v>58</v>
      </c>
      <c r="V6" s="17" t="s">
        <v>57</v>
      </c>
      <c r="W6" s="16" t="s">
        <v>56</v>
      </c>
      <c r="X6" s="17" t="s">
        <v>58</v>
      </c>
      <c r="Y6" s="17" t="s">
        <v>57</v>
      </c>
      <c r="Z6" s="16" t="s">
        <v>56</v>
      </c>
      <c r="AA6" s="17" t="s">
        <v>58</v>
      </c>
      <c r="AB6" s="17" t="s">
        <v>57</v>
      </c>
      <c r="AC6" s="16" t="s">
        <v>56</v>
      </c>
      <c r="AD6" s="17" t="s">
        <v>58</v>
      </c>
      <c r="AE6" s="17" t="s">
        <v>57</v>
      </c>
      <c r="AF6" s="30" t="s">
        <v>56</v>
      </c>
      <c r="AG6" s="17" t="s">
        <v>58</v>
      </c>
      <c r="AH6" s="17" t="s">
        <v>57</v>
      </c>
      <c r="AI6" s="30" t="s">
        <v>56</v>
      </c>
      <c r="AJ6" s="17" t="s">
        <v>58</v>
      </c>
      <c r="AK6" s="17" t="s">
        <v>57</v>
      </c>
      <c r="AL6" s="30" t="s">
        <v>56</v>
      </c>
      <c r="AM6" s="17" t="s">
        <v>58</v>
      </c>
      <c r="AN6" s="17" t="s">
        <v>57</v>
      </c>
      <c r="AO6" s="30" t="s">
        <v>56</v>
      </c>
      <c r="AP6" s="17" t="s">
        <v>58</v>
      </c>
      <c r="AQ6" s="17" t="s">
        <v>57</v>
      </c>
      <c r="AR6" s="30" t="s">
        <v>56</v>
      </c>
      <c r="AS6" s="17" t="s">
        <v>58</v>
      </c>
      <c r="AT6" s="17" t="s">
        <v>57</v>
      </c>
      <c r="AU6" s="30" t="s">
        <v>56</v>
      </c>
      <c r="AV6" s="17" t="s">
        <v>58</v>
      </c>
      <c r="AW6" s="17" t="s">
        <v>57</v>
      </c>
      <c r="AX6" s="81"/>
      <c r="AY6" s="93"/>
      <c r="AZ6" s="82"/>
      <c r="BA6" s="83"/>
    </row>
    <row r="7" spans="1:53" ht="14.5" customHeight="1" x14ac:dyDescent="0.2">
      <c r="A7" s="78" t="s">
        <v>4</v>
      </c>
      <c r="B7" s="78"/>
      <c r="C7" s="40"/>
      <c r="D7" s="40"/>
      <c r="E7" s="18"/>
      <c r="F7" s="19"/>
      <c r="G7" s="19"/>
      <c r="H7" s="18"/>
      <c r="I7" s="19"/>
      <c r="J7" s="19"/>
      <c r="K7" s="18"/>
      <c r="L7" s="19"/>
      <c r="M7" s="19"/>
      <c r="N7" s="18"/>
      <c r="O7" s="19"/>
      <c r="P7" s="19"/>
      <c r="Q7" s="18"/>
      <c r="R7" s="19"/>
      <c r="S7" s="19"/>
      <c r="T7" s="18"/>
      <c r="U7" s="19"/>
      <c r="V7" s="19"/>
      <c r="W7" s="18"/>
      <c r="X7" s="19"/>
      <c r="Y7" s="19"/>
      <c r="Z7" s="18"/>
      <c r="AA7" s="19"/>
      <c r="AB7" s="19"/>
      <c r="AC7" s="18"/>
      <c r="AD7" s="19"/>
      <c r="AE7" s="19"/>
      <c r="AF7" s="31"/>
      <c r="AG7" s="19"/>
      <c r="AH7" s="19"/>
      <c r="AI7" s="31"/>
      <c r="AJ7" s="19"/>
      <c r="AK7" s="19"/>
      <c r="AL7" s="31"/>
      <c r="AM7" s="19"/>
      <c r="AN7" s="19"/>
      <c r="AO7" s="31"/>
      <c r="AP7" s="19"/>
      <c r="AQ7" s="19"/>
      <c r="AR7" s="31"/>
      <c r="AS7" s="19"/>
      <c r="AT7" s="19"/>
      <c r="AU7" s="31"/>
      <c r="AV7" s="19"/>
      <c r="AW7" s="19"/>
      <c r="AX7" s="28"/>
      <c r="AY7" s="28"/>
      <c r="AZ7" s="28"/>
      <c r="BA7" s="28"/>
    </row>
    <row r="8" spans="1:53" ht="14.5" customHeight="1" x14ac:dyDescent="0.2">
      <c r="A8" s="23">
        <v>1</v>
      </c>
      <c r="B8" s="53" t="s">
        <v>72</v>
      </c>
      <c r="C8" s="57">
        <v>1300</v>
      </c>
      <c r="D8" s="57">
        <v>1500</v>
      </c>
      <c r="E8" s="39">
        <f>'Setoran 3'!C8</f>
        <v>0</v>
      </c>
      <c r="F8" s="19">
        <f>E8*$C8</f>
        <v>0</v>
      </c>
      <c r="G8" s="19">
        <f>E8*$D8</f>
        <v>0</v>
      </c>
      <c r="H8" s="39">
        <f>'Setoran 3'!D8</f>
        <v>0</v>
      </c>
      <c r="I8" s="19">
        <f>H8*$C8</f>
        <v>0</v>
      </c>
      <c r="J8" s="19">
        <f>H8*$D8</f>
        <v>0</v>
      </c>
      <c r="K8" s="39">
        <f>'Setoran 3'!E8</f>
        <v>0</v>
      </c>
      <c r="L8" s="19">
        <f>K8*$C8</f>
        <v>0</v>
      </c>
      <c r="M8" s="19">
        <f>K8*$D8</f>
        <v>0</v>
      </c>
      <c r="N8" s="39">
        <f>'Setoran 3'!F8</f>
        <v>0</v>
      </c>
      <c r="O8" s="19">
        <f>N8*$C8</f>
        <v>0</v>
      </c>
      <c r="P8" s="19">
        <f>N8*$D8</f>
        <v>0</v>
      </c>
      <c r="Q8" s="39">
        <f>'Setoran 3'!G8</f>
        <v>0</v>
      </c>
      <c r="R8" s="19">
        <f>Q8*$C8</f>
        <v>0</v>
      </c>
      <c r="S8" s="19">
        <f>Q8*$D8</f>
        <v>0</v>
      </c>
      <c r="T8" s="39">
        <f>'Setoran 3'!H8</f>
        <v>0</v>
      </c>
      <c r="U8" s="19">
        <f>T8*$C8</f>
        <v>0</v>
      </c>
      <c r="V8" s="19">
        <f>T8*$D8</f>
        <v>0</v>
      </c>
      <c r="W8" s="39">
        <f>'Setoran 3'!I8</f>
        <v>0</v>
      </c>
      <c r="X8" s="19">
        <f>W8*$C8</f>
        <v>0</v>
      </c>
      <c r="Y8" s="19">
        <f>W8*$D8</f>
        <v>0</v>
      </c>
      <c r="Z8" s="39">
        <f>'Setoran 3'!J8</f>
        <v>0</v>
      </c>
      <c r="AA8" s="19">
        <f>Z8*$C8</f>
        <v>0</v>
      </c>
      <c r="AB8" s="19">
        <f>Z8*$D8</f>
        <v>0</v>
      </c>
      <c r="AC8" s="39">
        <f>'Setoran 3'!K8</f>
        <v>0</v>
      </c>
      <c r="AD8" s="19">
        <f>AC8*$C8</f>
        <v>0</v>
      </c>
      <c r="AE8" s="19">
        <f>AC8*$D8</f>
        <v>0</v>
      </c>
      <c r="AF8" s="38">
        <f>'Setoran 3'!L8</f>
        <v>0</v>
      </c>
      <c r="AG8" s="19">
        <f>AF8*$C8</f>
        <v>0</v>
      </c>
      <c r="AH8" s="19">
        <f>AF8*$D8</f>
        <v>0</v>
      </c>
      <c r="AI8" s="38">
        <f>'Setoran 3'!M8</f>
        <v>0</v>
      </c>
      <c r="AJ8" s="19">
        <f>AI8*$C8</f>
        <v>0</v>
      </c>
      <c r="AK8" s="19">
        <f>AI8*$D8</f>
        <v>0</v>
      </c>
      <c r="AL8" s="38">
        <f>'Setoran 3'!N8</f>
        <v>0</v>
      </c>
      <c r="AM8" s="19">
        <f>AL8*$C8</f>
        <v>0</v>
      </c>
      <c r="AN8" s="19">
        <f>AL8*$D8</f>
        <v>0</v>
      </c>
      <c r="AO8" s="38">
        <f>'Setoran 3'!O8</f>
        <v>0</v>
      </c>
      <c r="AP8" s="19">
        <f>AO8*$C8</f>
        <v>0</v>
      </c>
      <c r="AQ8" s="19">
        <f>AO8*$D8</f>
        <v>0</v>
      </c>
      <c r="AR8" s="38">
        <f>'Setoran 3'!P8</f>
        <v>0</v>
      </c>
      <c r="AS8" s="19">
        <f>AR8*$C8</f>
        <v>0</v>
      </c>
      <c r="AT8" s="19">
        <f>AR8*$D8</f>
        <v>0</v>
      </c>
      <c r="AU8" s="38">
        <f>'Setoran 3'!Q8</f>
        <v>0</v>
      </c>
      <c r="AV8" s="19">
        <f>AU8*$C8</f>
        <v>0</v>
      </c>
      <c r="AW8" s="19">
        <f>AU8*$D8</f>
        <v>0</v>
      </c>
      <c r="AX8" s="39">
        <f>SUM(E8,H8,K8,N8,Q8,T8,W8,Z8,AC8,AF8,AI8,AL8,AO8,AR8,AU8)</f>
        <v>0</v>
      </c>
      <c r="AY8" s="38">
        <f>SUM(F8,I8,L8,O8,R8,U8,X8,AA8,AD8,,AG8,AJ8,AM8,AP8,AS8,AV8)</f>
        <v>0</v>
      </c>
      <c r="AZ8" s="21">
        <f>SUM(G8,J8,M8,P8,S8,V8,Y8,AB8,AE8,AH8,AK8,AN8,AQ8,AT8,AW8)</f>
        <v>0</v>
      </c>
      <c r="BA8" s="22">
        <f>AZ8-AY8</f>
        <v>0</v>
      </c>
    </row>
    <row r="9" spans="1:53" ht="14.5" customHeight="1" x14ac:dyDescent="0.2">
      <c r="A9" s="23">
        <v>2</v>
      </c>
      <c r="B9" s="53" t="s">
        <v>5</v>
      </c>
      <c r="C9" s="57">
        <v>1100</v>
      </c>
      <c r="D9" s="57">
        <v>1200</v>
      </c>
      <c r="E9" s="39">
        <f>'Setoran 3'!C9</f>
        <v>0</v>
      </c>
      <c r="F9" s="19">
        <f t="shared" ref="F9:F72" si="0">E9*$C9</f>
        <v>0</v>
      </c>
      <c r="G9" s="19">
        <f t="shared" ref="G9:G72" si="1">E9*$D9</f>
        <v>0</v>
      </c>
      <c r="H9" s="39">
        <f>'Setoran 3'!D9</f>
        <v>0</v>
      </c>
      <c r="I9" s="19">
        <f t="shared" ref="I9:I72" si="2">H9*$C9</f>
        <v>0</v>
      </c>
      <c r="J9" s="19">
        <f t="shared" ref="J9:J72" si="3">H9*$D9</f>
        <v>0</v>
      </c>
      <c r="K9" s="39">
        <f>'Setoran 3'!E9</f>
        <v>0</v>
      </c>
      <c r="L9" s="19">
        <f t="shared" ref="L9:L72" si="4">K9*$C9</f>
        <v>0</v>
      </c>
      <c r="M9" s="19">
        <f t="shared" ref="M9:M72" si="5">K9*$D9</f>
        <v>0</v>
      </c>
      <c r="N9" s="39">
        <f>'Setoran 3'!F9</f>
        <v>0</v>
      </c>
      <c r="O9" s="19">
        <f t="shared" ref="O9:O72" si="6">N9*$C9</f>
        <v>0</v>
      </c>
      <c r="P9" s="19">
        <f t="shared" ref="P9:P72" si="7">N9*$D9</f>
        <v>0</v>
      </c>
      <c r="Q9" s="39">
        <f>'Setoran 3'!G9</f>
        <v>0</v>
      </c>
      <c r="R9" s="19">
        <f t="shared" ref="R9:R72" si="8">Q9*$C9</f>
        <v>0</v>
      </c>
      <c r="S9" s="19">
        <f t="shared" ref="S9:S72" si="9">Q9*$D9</f>
        <v>0</v>
      </c>
      <c r="T9" s="39">
        <f>'Setoran 3'!H9</f>
        <v>0</v>
      </c>
      <c r="U9" s="19">
        <f t="shared" ref="U9:U72" si="10">T9*$C9</f>
        <v>0</v>
      </c>
      <c r="V9" s="19">
        <f t="shared" ref="V9:V72" si="11">T9*$D9</f>
        <v>0</v>
      </c>
      <c r="W9" s="39">
        <f>'Setoran 3'!I9</f>
        <v>0</v>
      </c>
      <c r="X9" s="19">
        <f t="shared" ref="X9:X72" si="12">W9*$C9</f>
        <v>0</v>
      </c>
      <c r="Y9" s="19">
        <f t="shared" ref="Y9:Y72" si="13">W9*$D9</f>
        <v>0</v>
      </c>
      <c r="Z9" s="39">
        <f>'Setoran 3'!J9</f>
        <v>0</v>
      </c>
      <c r="AA9" s="19">
        <f t="shared" ref="AA9:AA72" si="14">Z9*$C9</f>
        <v>0</v>
      </c>
      <c r="AB9" s="19">
        <f t="shared" ref="AB9:AB72" si="15">Z9*$D9</f>
        <v>0</v>
      </c>
      <c r="AC9" s="39">
        <f>'Setoran 3'!K9</f>
        <v>0</v>
      </c>
      <c r="AD9" s="19">
        <f t="shared" ref="AD9:AD72" si="16">AC9*$C9</f>
        <v>0</v>
      </c>
      <c r="AE9" s="19">
        <f t="shared" ref="AE9:AE72" si="17">AC9*$D9</f>
        <v>0</v>
      </c>
      <c r="AF9" s="38">
        <f>'Setoran 3'!L9</f>
        <v>0</v>
      </c>
      <c r="AG9" s="19">
        <f t="shared" ref="AG9:AG72" si="18">AF9*$C9</f>
        <v>0</v>
      </c>
      <c r="AH9" s="19">
        <f t="shared" ref="AH9:AH72" si="19">AF9*$D9</f>
        <v>0</v>
      </c>
      <c r="AI9" s="38">
        <f>'Setoran 3'!M9</f>
        <v>0</v>
      </c>
      <c r="AJ9" s="19">
        <f t="shared" ref="AJ9:AJ72" si="20">AI9*$C9</f>
        <v>0</v>
      </c>
      <c r="AK9" s="19">
        <f t="shared" ref="AK9:AK72" si="21">AI9*$D9</f>
        <v>0</v>
      </c>
      <c r="AL9" s="38">
        <f>'Setoran 3'!N9</f>
        <v>0</v>
      </c>
      <c r="AM9" s="19">
        <f t="shared" ref="AM9:AM72" si="22">AL9*$C9</f>
        <v>0</v>
      </c>
      <c r="AN9" s="19">
        <f t="shared" ref="AN9:AN72" si="23">AL9*$D9</f>
        <v>0</v>
      </c>
      <c r="AO9" s="38">
        <f>'Setoran 3'!O9</f>
        <v>0</v>
      </c>
      <c r="AP9" s="19">
        <f t="shared" ref="AP9:AP72" si="24">AO9*$C9</f>
        <v>0</v>
      </c>
      <c r="AQ9" s="19">
        <f t="shared" ref="AQ9:AQ72" si="25">AO9*$D9</f>
        <v>0</v>
      </c>
      <c r="AR9" s="38">
        <f>'Setoran 3'!P9</f>
        <v>0</v>
      </c>
      <c r="AS9" s="19">
        <f t="shared" ref="AS9:AS72" si="26">AR9*$C9</f>
        <v>0</v>
      </c>
      <c r="AT9" s="19">
        <f t="shared" ref="AT9:AT72" si="27">AR9*$D9</f>
        <v>0</v>
      </c>
      <c r="AU9" s="38">
        <f>'Setoran 3'!Q9</f>
        <v>0</v>
      </c>
      <c r="AV9" s="19">
        <f t="shared" ref="AV9:AV72" si="28">AU9*$C9</f>
        <v>0</v>
      </c>
      <c r="AW9" s="19">
        <f t="shared" ref="AW9:AW72" si="29">AU9*$D9</f>
        <v>0</v>
      </c>
      <c r="AX9" s="39">
        <f t="shared" ref="AX9:AX72" si="30">SUM(E9,H9,K9,N9,Q9,T9,W9,Z9,AC9,AF9,AI9,AL9,AO9,AR9,AU9)</f>
        <v>0</v>
      </c>
      <c r="AY9" s="38">
        <f t="shared" ref="AY9:AY72" si="31">SUM(F9,I9,L9,O9,R9,U9,X9,AA9,AD9,,AG9,AJ9,AM9,AP9,AS9,AV9)</f>
        <v>0</v>
      </c>
      <c r="AZ9" s="21">
        <f t="shared" ref="AZ9:AZ72" si="32">SUM(G9,J9,M9,P9,S9,V9,Y9,AB9,AE9,AH9,AK9,AN9,AQ9,AT9,AW9)</f>
        <v>0</v>
      </c>
      <c r="BA9" s="22">
        <f t="shared" ref="BA9:BA72" si="33">AZ9-AY9</f>
        <v>0</v>
      </c>
    </row>
    <row r="10" spans="1:53" ht="14.5" customHeight="1" x14ac:dyDescent="0.2">
      <c r="A10" s="23">
        <v>3</v>
      </c>
      <c r="B10" s="53" t="s">
        <v>73</v>
      </c>
      <c r="C10" s="57">
        <v>900</v>
      </c>
      <c r="D10" s="57">
        <v>1000</v>
      </c>
      <c r="E10" s="39">
        <f>'Setoran 3'!C10</f>
        <v>0</v>
      </c>
      <c r="F10" s="19">
        <f t="shared" si="0"/>
        <v>0</v>
      </c>
      <c r="G10" s="19">
        <f t="shared" si="1"/>
        <v>0</v>
      </c>
      <c r="H10" s="39">
        <f>'Setoran 3'!D10</f>
        <v>0</v>
      </c>
      <c r="I10" s="19">
        <f t="shared" si="2"/>
        <v>0</v>
      </c>
      <c r="J10" s="19">
        <f t="shared" si="3"/>
        <v>0</v>
      </c>
      <c r="K10" s="39">
        <f>'Setoran 3'!E10</f>
        <v>0</v>
      </c>
      <c r="L10" s="19">
        <f t="shared" si="4"/>
        <v>0</v>
      </c>
      <c r="M10" s="19">
        <f t="shared" si="5"/>
        <v>0</v>
      </c>
      <c r="N10" s="39">
        <f>'Setoran 3'!F10</f>
        <v>0</v>
      </c>
      <c r="O10" s="19">
        <f t="shared" si="6"/>
        <v>0</v>
      </c>
      <c r="P10" s="19">
        <f t="shared" si="7"/>
        <v>0</v>
      </c>
      <c r="Q10" s="39">
        <f>'Setoran 3'!G10</f>
        <v>0</v>
      </c>
      <c r="R10" s="19">
        <f t="shared" si="8"/>
        <v>0</v>
      </c>
      <c r="S10" s="19">
        <f t="shared" si="9"/>
        <v>0</v>
      </c>
      <c r="T10" s="39">
        <f>'Setoran 3'!H10</f>
        <v>0</v>
      </c>
      <c r="U10" s="19">
        <f t="shared" si="10"/>
        <v>0</v>
      </c>
      <c r="V10" s="19">
        <f t="shared" si="11"/>
        <v>0</v>
      </c>
      <c r="W10" s="39">
        <f>'Setoran 3'!I10</f>
        <v>0</v>
      </c>
      <c r="X10" s="19">
        <f t="shared" si="12"/>
        <v>0</v>
      </c>
      <c r="Y10" s="19">
        <f t="shared" si="13"/>
        <v>0</v>
      </c>
      <c r="Z10" s="39">
        <f>'Setoran 3'!J10</f>
        <v>0</v>
      </c>
      <c r="AA10" s="19">
        <f t="shared" si="14"/>
        <v>0</v>
      </c>
      <c r="AB10" s="19">
        <f t="shared" si="15"/>
        <v>0</v>
      </c>
      <c r="AC10" s="39">
        <f>'Setoran 3'!K10</f>
        <v>0</v>
      </c>
      <c r="AD10" s="19">
        <f t="shared" si="16"/>
        <v>0</v>
      </c>
      <c r="AE10" s="19">
        <f t="shared" si="17"/>
        <v>0</v>
      </c>
      <c r="AF10" s="38">
        <f>'Setoran 3'!L10</f>
        <v>0</v>
      </c>
      <c r="AG10" s="19">
        <f t="shared" si="18"/>
        <v>0</v>
      </c>
      <c r="AH10" s="19">
        <f t="shared" si="19"/>
        <v>0</v>
      </c>
      <c r="AI10" s="38">
        <f>'Setoran 3'!M10</f>
        <v>0</v>
      </c>
      <c r="AJ10" s="19">
        <f t="shared" si="20"/>
        <v>0</v>
      </c>
      <c r="AK10" s="19">
        <f t="shared" si="21"/>
        <v>0</v>
      </c>
      <c r="AL10" s="38">
        <f>'Setoran 3'!N10</f>
        <v>0</v>
      </c>
      <c r="AM10" s="19">
        <f t="shared" si="22"/>
        <v>0</v>
      </c>
      <c r="AN10" s="19">
        <f t="shared" si="23"/>
        <v>0</v>
      </c>
      <c r="AO10" s="38">
        <f>'Setoran 3'!O10</f>
        <v>0</v>
      </c>
      <c r="AP10" s="19">
        <f t="shared" si="24"/>
        <v>0</v>
      </c>
      <c r="AQ10" s="19">
        <f t="shared" si="25"/>
        <v>0</v>
      </c>
      <c r="AR10" s="38">
        <f>'Setoran 3'!P10</f>
        <v>0</v>
      </c>
      <c r="AS10" s="19">
        <f t="shared" si="26"/>
        <v>0</v>
      </c>
      <c r="AT10" s="19">
        <f t="shared" si="27"/>
        <v>0</v>
      </c>
      <c r="AU10" s="38">
        <f>'Setoran 3'!Q10</f>
        <v>0</v>
      </c>
      <c r="AV10" s="19">
        <f t="shared" si="28"/>
        <v>0</v>
      </c>
      <c r="AW10" s="19">
        <f t="shared" si="29"/>
        <v>0</v>
      </c>
      <c r="AX10" s="39">
        <f t="shared" si="30"/>
        <v>0</v>
      </c>
      <c r="AY10" s="38">
        <f t="shared" si="31"/>
        <v>0</v>
      </c>
      <c r="AZ10" s="21">
        <f t="shared" si="32"/>
        <v>0</v>
      </c>
      <c r="BA10" s="22">
        <f t="shared" si="33"/>
        <v>0</v>
      </c>
    </row>
    <row r="11" spans="1:53" ht="14.5" customHeight="1" x14ac:dyDescent="0.2">
      <c r="A11" s="23">
        <v>4</v>
      </c>
      <c r="B11" s="53" t="s">
        <v>6</v>
      </c>
      <c r="C11" s="57">
        <v>3200</v>
      </c>
      <c r="D11" s="57">
        <v>3500</v>
      </c>
      <c r="E11" s="39">
        <f>'Setoran 3'!C11</f>
        <v>0</v>
      </c>
      <c r="F11" s="19">
        <f t="shared" si="0"/>
        <v>0</v>
      </c>
      <c r="G11" s="19">
        <f t="shared" si="1"/>
        <v>0</v>
      </c>
      <c r="H11" s="39">
        <f>'Setoran 3'!D11</f>
        <v>0</v>
      </c>
      <c r="I11" s="19">
        <f t="shared" si="2"/>
        <v>0</v>
      </c>
      <c r="J11" s="19">
        <f t="shared" si="3"/>
        <v>0</v>
      </c>
      <c r="K11" s="39">
        <f>'Setoran 3'!E11</f>
        <v>0</v>
      </c>
      <c r="L11" s="19">
        <f t="shared" si="4"/>
        <v>0</v>
      </c>
      <c r="M11" s="19">
        <f t="shared" si="5"/>
        <v>0</v>
      </c>
      <c r="N11" s="39">
        <f>'Setoran 3'!F11</f>
        <v>0</v>
      </c>
      <c r="O11" s="19">
        <f t="shared" si="6"/>
        <v>0</v>
      </c>
      <c r="P11" s="19">
        <f t="shared" si="7"/>
        <v>0</v>
      </c>
      <c r="Q11" s="39">
        <f>'Setoran 3'!G11</f>
        <v>0</v>
      </c>
      <c r="R11" s="19">
        <f t="shared" si="8"/>
        <v>0</v>
      </c>
      <c r="S11" s="19">
        <f t="shared" si="9"/>
        <v>0</v>
      </c>
      <c r="T11" s="39">
        <f>'Setoran 3'!H11</f>
        <v>0</v>
      </c>
      <c r="U11" s="19">
        <f t="shared" si="10"/>
        <v>0</v>
      </c>
      <c r="V11" s="19">
        <f t="shared" si="11"/>
        <v>0</v>
      </c>
      <c r="W11" s="39">
        <f>'Setoran 3'!I11</f>
        <v>0</v>
      </c>
      <c r="X11" s="19">
        <f t="shared" si="12"/>
        <v>0</v>
      </c>
      <c r="Y11" s="19">
        <f t="shared" si="13"/>
        <v>0</v>
      </c>
      <c r="Z11" s="39">
        <f>'Setoran 3'!J11</f>
        <v>0</v>
      </c>
      <c r="AA11" s="19">
        <f t="shared" si="14"/>
        <v>0</v>
      </c>
      <c r="AB11" s="19">
        <f t="shared" si="15"/>
        <v>0</v>
      </c>
      <c r="AC11" s="39">
        <f>'Setoran 3'!K11</f>
        <v>0</v>
      </c>
      <c r="AD11" s="19">
        <f t="shared" si="16"/>
        <v>0</v>
      </c>
      <c r="AE11" s="19">
        <f t="shared" si="17"/>
        <v>0</v>
      </c>
      <c r="AF11" s="38">
        <f>'Setoran 3'!L11</f>
        <v>0</v>
      </c>
      <c r="AG11" s="19">
        <f t="shared" si="18"/>
        <v>0</v>
      </c>
      <c r="AH11" s="19">
        <f t="shared" si="19"/>
        <v>0</v>
      </c>
      <c r="AI11" s="38">
        <f>'Setoran 3'!M11</f>
        <v>0</v>
      </c>
      <c r="AJ11" s="19">
        <f t="shared" si="20"/>
        <v>0</v>
      </c>
      <c r="AK11" s="19">
        <f t="shared" si="21"/>
        <v>0</v>
      </c>
      <c r="AL11" s="38">
        <f>'Setoran 3'!N11</f>
        <v>0</v>
      </c>
      <c r="AM11" s="19">
        <f t="shared" si="22"/>
        <v>0</v>
      </c>
      <c r="AN11" s="19">
        <f t="shared" si="23"/>
        <v>0</v>
      </c>
      <c r="AO11" s="38">
        <f>'Setoran 3'!O11</f>
        <v>0</v>
      </c>
      <c r="AP11" s="19">
        <f t="shared" si="24"/>
        <v>0</v>
      </c>
      <c r="AQ11" s="19">
        <f t="shared" si="25"/>
        <v>0</v>
      </c>
      <c r="AR11" s="38">
        <f>'Setoran 3'!P11</f>
        <v>0</v>
      </c>
      <c r="AS11" s="19">
        <f t="shared" si="26"/>
        <v>0</v>
      </c>
      <c r="AT11" s="19">
        <f t="shared" si="27"/>
        <v>0</v>
      </c>
      <c r="AU11" s="38">
        <f>'Setoran 3'!Q11</f>
        <v>0</v>
      </c>
      <c r="AV11" s="19">
        <f t="shared" si="28"/>
        <v>0</v>
      </c>
      <c r="AW11" s="19">
        <f t="shared" si="29"/>
        <v>0</v>
      </c>
      <c r="AX11" s="39">
        <f t="shared" si="30"/>
        <v>0</v>
      </c>
      <c r="AY11" s="38">
        <f t="shared" si="31"/>
        <v>0</v>
      </c>
      <c r="AZ11" s="21">
        <f t="shared" si="32"/>
        <v>0</v>
      </c>
      <c r="BA11" s="22">
        <f t="shared" si="33"/>
        <v>0</v>
      </c>
    </row>
    <row r="12" spans="1:53" ht="14.5" customHeight="1" x14ac:dyDescent="0.2">
      <c r="A12" s="23">
        <v>5</v>
      </c>
      <c r="B12" s="53" t="s">
        <v>7</v>
      </c>
      <c r="C12" s="57">
        <v>2800</v>
      </c>
      <c r="D12" s="57">
        <v>3000</v>
      </c>
      <c r="E12" s="39">
        <f>'Setoran 3'!C12</f>
        <v>0</v>
      </c>
      <c r="F12" s="19">
        <f t="shared" si="0"/>
        <v>0</v>
      </c>
      <c r="G12" s="19">
        <f t="shared" si="1"/>
        <v>0</v>
      </c>
      <c r="H12" s="39">
        <f>'Setoran 3'!D12</f>
        <v>0</v>
      </c>
      <c r="I12" s="19">
        <f t="shared" si="2"/>
        <v>0</v>
      </c>
      <c r="J12" s="19">
        <f t="shared" si="3"/>
        <v>0</v>
      </c>
      <c r="K12" s="39">
        <f>'Setoran 3'!E12</f>
        <v>0</v>
      </c>
      <c r="L12" s="19">
        <f t="shared" si="4"/>
        <v>0</v>
      </c>
      <c r="M12" s="19">
        <f t="shared" si="5"/>
        <v>0</v>
      </c>
      <c r="N12" s="39">
        <f>'Setoran 3'!F12</f>
        <v>0</v>
      </c>
      <c r="O12" s="19">
        <f t="shared" si="6"/>
        <v>0</v>
      </c>
      <c r="P12" s="19">
        <f t="shared" si="7"/>
        <v>0</v>
      </c>
      <c r="Q12" s="39">
        <f>'Setoran 3'!G12</f>
        <v>0</v>
      </c>
      <c r="R12" s="19">
        <f t="shared" si="8"/>
        <v>0</v>
      </c>
      <c r="S12" s="19">
        <f t="shared" si="9"/>
        <v>0</v>
      </c>
      <c r="T12" s="39">
        <f>'Setoran 3'!H12</f>
        <v>0</v>
      </c>
      <c r="U12" s="19">
        <f t="shared" si="10"/>
        <v>0</v>
      </c>
      <c r="V12" s="19">
        <f t="shared" si="11"/>
        <v>0</v>
      </c>
      <c r="W12" s="39">
        <f>'Setoran 3'!I12</f>
        <v>0</v>
      </c>
      <c r="X12" s="19">
        <f t="shared" si="12"/>
        <v>0</v>
      </c>
      <c r="Y12" s="19">
        <f t="shared" si="13"/>
        <v>0</v>
      </c>
      <c r="Z12" s="39">
        <f>'Setoran 3'!J12</f>
        <v>0</v>
      </c>
      <c r="AA12" s="19">
        <f t="shared" si="14"/>
        <v>0</v>
      </c>
      <c r="AB12" s="19">
        <f t="shared" si="15"/>
        <v>0</v>
      </c>
      <c r="AC12" s="39">
        <f>'Setoran 3'!K12</f>
        <v>0</v>
      </c>
      <c r="AD12" s="19">
        <f t="shared" si="16"/>
        <v>0</v>
      </c>
      <c r="AE12" s="19">
        <f t="shared" si="17"/>
        <v>0</v>
      </c>
      <c r="AF12" s="38">
        <f>'Setoran 3'!L12</f>
        <v>0</v>
      </c>
      <c r="AG12" s="19">
        <f t="shared" si="18"/>
        <v>0</v>
      </c>
      <c r="AH12" s="19">
        <f t="shared" si="19"/>
        <v>0</v>
      </c>
      <c r="AI12" s="38">
        <f>'Setoran 3'!M12</f>
        <v>0</v>
      </c>
      <c r="AJ12" s="19">
        <f t="shared" si="20"/>
        <v>0</v>
      </c>
      <c r="AK12" s="19">
        <f t="shared" si="21"/>
        <v>0</v>
      </c>
      <c r="AL12" s="38">
        <f>'Setoran 3'!N12</f>
        <v>0</v>
      </c>
      <c r="AM12" s="19">
        <f t="shared" si="22"/>
        <v>0</v>
      </c>
      <c r="AN12" s="19">
        <f t="shared" si="23"/>
        <v>0</v>
      </c>
      <c r="AO12" s="38">
        <f>'Setoran 3'!O12</f>
        <v>0</v>
      </c>
      <c r="AP12" s="19">
        <f t="shared" si="24"/>
        <v>0</v>
      </c>
      <c r="AQ12" s="19">
        <f t="shared" si="25"/>
        <v>0</v>
      </c>
      <c r="AR12" s="38">
        <f>'Setoran 3'!P12</f>
        <v>0</v>
      </c>
      <c r="AS12" s="19">
        <f t="shared" si="26"/>
        <v>0</v>
      </c>
      <c r="AT12" s="19">
        <f t="shared" si="27"/>
        <v>0</v>
      </c>
      <c r="AU12" s="38">
        <f>'Setoran 3'!Q12</f>
        <v>0</v>
      </c>
      <c r="AV12" s="19">
        <f t="shared" si="28"/>
        <v>0</v>
      </c>
      <c r="AW12" s="19">
        <f t="shared" si="29"/>
        <v>0</v>
      </c>
      <c r="AX12" s="39">
        <f t="shared" si="30"/>
        <v>0</v>
      </c>
      <c r="AY12" s="38">
        <f t="shared" si="31"/>
        <v>0</v>
      </c>
      <c r="AZ12" s="21">
        <f t="shared" si="32"/>
        <v>0</v>
      </c>
      <c r="BA12" s="22">
        <f t="shared" si="33"/>
        <v>0</v>
      </c>
    </row>
    <row r="13" spans="1:53" ht="14.5" customHeight="1" x14ac:dyDescent="0.2">
      <c r="A13" s="23">
        <v>6</v>
      </c>
      <c r="B13" s="53" t="s">
        <v>8</v>
      </c>
      <c r="C13" s="57">
        <v>1300</v>
      </c>
      <c r="D13" s="57">
        <v>1500</v>
      </c>
      <c r="E13" s="39">
        <f>'Setoran 3'!C13</f>
        <v>0</v>
      </c>
      <c r="F13" s="19">
        <f t="shared" si="0"/>
        <v>0</v>
      </c>
      <c r="G13" s="19">
        <f t="shared" si="1"/>
        <v>0</v>
      </c>
      <c r="H13" s="39">
        <f>'Setoran 3'!D13</f>
        <v>0</v>
      </c>
      <c r="I13" s="19">
        <f t="shared" si="2"/>
        <v>0</v>
      </c>
      <c r="J13" s="19">
        <f t="shared" si="3"/>
        <v>0</v>
      </c>
      <c r="K13" s="39">
        <f>'Setoran 3'!E13</f>
        <v>0</v>
      </c>
      <c r="L13" s="19">
        <f t="shared" si="4"/>
        <v>0</v>
      </c>
      <c r="M13" s="19">
        <f t="shared" si="5"/>
        <v>0</v>
      </c>
      <c r="N13" s="39">
        <f>'Setoran 3'!F13</f>
        <v>0</v>
      </c>
      <c r="O13" s="19">
        <f t="shared" si="6"/>
        <v>0</v>
      </c>
      <c r="P13" s="19">
        <f t="shared" si="7"/>
        <v>0</v>
      </c>
      <c r="Q13" s="39">
        <f>'Setoran 3'!G13</f>
        <v>0</v>
      </c>
      <c r="R13" s="19">
        <f t="shared" si="8"/>
        <v>0</v>
      </c>
      <c r="S13" s="19">
        <f t="shared" si="9"/>
        <v>0</v>
      </c>
      <c r="T13" s="39">
        <f>'Setoran 3'!H13</f>
        <v>0</v>
      </c>
      <c r="U13" s="19">
        <f t="shared" si="10"/>
        <v>0</v>
      </c>
      <c r="V13" s="19">
        <f t="shared" si="11"/>
        <v>0</v>
      </c>
      <c r="W13" s="39">
        <f>'Setoran 3'!I13</f>
        <v>0</v>
      </c>
      <c r="X13" s="19">
        <f t="shared" si="12"/>
        <v>0</v>
      </c>
      <c r="Y13" s="19">
        <f t="shared" si="13"/>
        <v>0</v>
      </c>
      <c r="Z13" s="39">
        <f>'Setoran 3'!J13</f>
        <v>0</v>
      </c>
      <c r="AA13" s="19">
        <f t="shared" si="14"/>
        <v>0</v>
      </c>
      <c r="AB13" s="19">
        <f t="shared" si="15"/>
        <v>0</v>
      </c>
      <c r="AC13" s="39">
        <f>'Setoran 3'!K13</f>
        <v>0</v>
      </c>
      <c r="AD13" s="19">
        <f t="shared" si="16"/>
        <v>0</v>
      </c>
      <c r="AE13" s="19">
        <f t="shared" si="17"/>
        <v>0</v>
      </c>
      <c r="AF13" s="38">
        <f>'Setoran 3'!L13</f>
        <v>0</v>
      </c>
      <c r="AG13" s="19">
        <f t="shared" si="18"/>
        <v>0</v>
      </c>
      <c r="AH13" s="19">
        <f t="shared" si="19"/>
        <v>0</v>
      </c>
      <c r="AI13" s="38">
        <f>'Setoran 3'!M13</f>
        <v>0</v>
      </c>
      <c r="AJ13" s="19">
        <f t="shared" si="20"/>
        <v>0</v>
      </c>
      <c r="AK13" s="19">
        <f t="shared" si="21"/>
        <v>0</v>
      </c>
      <c r="AL13" s="38">
        <f>'Setoran 3'!N13</f>
        <v>0</v>
      </c>
      <c r="AM13" s="19">
        <f t="shared" si="22"/>
        <v>0</v>
      </c>
      <c r="AN13" s="19">
        <f t="shared" si="23"/>
        <v>0</v>
      </c>
      <c r="AO13" s="38">
        <f>'Setoran 3'!O13</f>
        <v>0</v>
      </c>
      <c r="AP13" s="19">
        <f t="shared" si="24"/>
        <v>0</v>
      </c>
      <c r="AQ13" s="19">
        <f t="shared" si="25"/>
        <v>0</v>
      </c>
      <c r="AR13" s="38">
        <f>'Setoran 3'!P13</f>
        <v>0</v>
      </c>
      <c r="AS13" s="19">
        <f t="shared" si="26"/>
        <v>0</v>
      </c>
      <c r="AT13" s="19">
        <f t="shared" si="27"/>
        <v>0</v>
      </c>
      <c r="AU13" s="38">
        <f>'Setoran 3'!Q13</f>
        <v>0</v>
      </c>
      <c r="AV13" s="19">
        <f t="shared" si="28"/>
        <v>0</v>
      </c>
      <c r="AW13" s="19">
        <f t="shared" si="29"/>
        <v>0</v>
      </c>
      <c r="AX13" s="39">
        <f t="shared" si="30"/>
        <v>0</v>
      </c>
      <c r="AY13" s="38">
        <f t="shared" si="31"/>
        <v>0</v>
      </c>
      <c r="AZ13" s="21">
        <f t="shared" si="32"/>
        <v>0</v>
      </c>
      <c r="BA13" s="22">
        <f t="shared" si="33"/>
        <v>0</v>
      </c>
    </row>
    <row r="14" spans="1:53" ht="14.5" customHeight="1" x14ac:dyDescent="0.2">
      <c r="A14" s="23">
        <v>7</v>
      </c>
      <c r="B14" s="53" t="s">
        <v>9</v>
      </c>
      <c r="C14" s="57">
        <v>1800</v>
      </c>
      <c r="D14" s="57">
        <v>2000</v>
      </c>
      <c r="E14" s="39">
        <f>'Setoran 3'!C14</f>
        <v>0</v>
      </c>
      <c r="F14" s="19">
        <f t="shared" si="0"/>
        <v>0</v>
      </c>
      <c r="G14" s="19">
        <f t="shared" si="1"/>
        <v>0</v>
      </c>
      <c r="H14" s="39">
        <f>'Setoran 3'!D14</f>
        <v>0</v>
      </c>
      <c r="I14" s="19">
        <f t="shared" si="2"/>
        <v>0</v>
      </c>
      <c r="J14" s="19">
        <f t="shared" si="3"/>
        <v>0</v>
      </c>
      <c r="K14" s="39">
        <f>'Setoran 3'!E14</f>
        <v>0</v>
      </c>
      <c r="L14" s="19">
        <f t="shared" si="4"/>
        <v>0</v>
      </c>
      <c r="M14" s="19">
        <f t="shared" si="5"/>
        <v>0</v>
      </c>
      <c r="N14" s="39">
        <f>'Setoran 3'!F14</f>
        <v>0</v>
      </c>
      <c r="O14" s="19">
        <f t="shared" si="6"/>
        <v>0</v>
      </c>
      <c r="P14" s="19">
        <f t="shared" si="7"/>
        <v>0</v>
      </c>
      <c r="Q14" s="39">
        <f>'Setoran 3'!G14</f>
        <v>0</v>
      </c>
      <c r="R14" s="19">
        <f t="shared" si="8"/>
        <v>0</v>
      </c>
      <c r="S14" s="19">
        <f t="shared" si="9"/>
        <v>0</v>
      </c>
      <c r="T14" s="39">
        <f>'Setoran 3'!H14</f>
        <v>0</v>
      </c>
      <c r="U14" s="19">
        <f t="shared" si="10"/>
        <v>0</v>
      </c>
      <c r="V14" s="19">
        <f t="shared" si="11"/>
        <v>0</v>
      </c>
      <c r="W14" s="39">
        <f>'Setoran 3'!I14</f>
        <v>0</v>
      </c>
      <c r="X14" s="19">
        <f t="shared" si="12"/>
        <v>0</v>
      </c>
      <c r="Y14" s="19">
        <f t="shared" si="13"/>
        <v>0</v>
      </c>
      <c r="Z14" s="39">
        <f>'Setoran 3'!J14</f>
        <v>0</v>
      </c>
      <c r="AA14" s="19">
        <f t="shared" si="14"/>
        <v>0</v>
      </c>
      <c r="AB14" s="19">
        <f t="shared" si="15"/>
        <v>0</v>
      </c>
      <c r="AC14" s="39">
        <f>'Setoran 3'!K14</f>
        <v>0</v>
      </c>
      <c r="AD14" s="19">
        <f t="shared" si="16"/>
        <v>0</v>
      </c>
      <c r="AE14" s="19">
        <f t="shared" si="17"/>
        <v>0</v>
      </c>
      <c r="AF14" s="38">
        <f>'Setoran 3'!L14</f>
        <v>0</v>
      </c>
      <c r="AG14" s="19">
        <f t="shared" si="18"/>
        <v>0</v>
      </c>
      <c r="AH14" s="19">
        <f t="shared" si="19"/>
        <v>0</v>
      </c>
      <c r="AI14" s="38">
        <f>'Setoran 3'!M14</f>
        <v>0</v>
      </c>
      <c r="AJ14" s="19">
        <f t="shared" si="20"/>
        <v>0</v>
      </c>
      <c r="AK14" s="19">
        <f t="shared" si="21"/>
        <v>0</v>
      </c>
      <c r="AL14" s="38">
        <f>'Setoran 3'!N14</f>
        <v>0</v>
      </c>
      <c r="AM14" s="19">
        <f t="shared" si="22"/>
        <v>0</v>
      </c>
      <c r="AN14" s="19">
        <f t="shared" si="23"/>
        <v>0</v>
      </c>
      <c r="AO14" s="38">
        <f>'Setoran 3'!O14</f>
        <v>0</v>
      </c>
      <c r="AP14" s="19">
        <f t="shared" si="24"/>
        <v>0</v>
      </c>
      <c r="AQ14" s="19">
        <f t="shared" si="25"/>
        <v>0</v>
      </c>
      <c r="AR14" s="38">
        <f>'Setoran 3'!P14</f>
        <v>0</v>
      </c>
      <c r="AS14" s="19">
        <f t="shared" si="26"/>
        <v>0</v>
      </c>
      <c r="AT14" s="19">
        <f t="shared" si="27"/>
        <v>0</v>
      </c>
      <c r="AU14" s="38">
        <f>'Setoran 3'!Q14</f>
        <v>0</v>
      </c>
      <c r="AV14" s="19">
        <f t="shared" si="28"/>
        <v>0</v>
      </c>
      <c r="AW14" s="19">
        <f t="shared" si="29"/>
        <v>0</v>
      </c>
      <c r="AX14" s="39">
        <f t="shared" si="30"/>
        <v>0</v>
      </c>
      <c r="AY14" s="38">
        <f t="shared" si="31"/>
        <v>0</v>
      </c>
      <c r="AZ14" s="21">
        <f t="shared" si="32"/>
        <v>0</v>
      </c>
      <c r="BA14" s="22">
        <f t="shared" si="33"/>
        <v>0</v>
      </c>
    </row>
    <row r="15" spans="1:53" ht="14.5" customHeight="1" x14ac:dyDescent="0.2">
      <c r="A15" s="78" t="s">
        <v>74</v>
      </c>
      <c r="B15" s="78"/>
      <c r="C15" s="59"/>
      <c r="D15" s="59"/>
      <c r="E15" s="39"/>
      <c r="F15" s="19"/>
      <c r="G15" s="19"/>
      <c r="H15" s="39"/>
      <c r="I15" s="19"/>
      <c r="J15" s="19"/>
      <c r="K15" s="39"/>
      <c r="L15" s="19"/>
      <c r="M15" s="19"/>
      <c r="N15" s="39"/>
      <c r="O15" s="19"/>
      <c r="P15" s="19"/>
      <c r="Q15" s="39"/>
      <c r="R15" s="19"/>
      <c r="S15" s="19"/>
      <c r="T15" s="39"/>
      <c r="U15" s="19"/>
      <c r="V15" s="19"/>
      <c r="W15" s="39"/>
      <c r="X15" s="19"/>
      <c r="Y15" s="19"/>
      <c r="Z15" s="39"/>
      <c r="AA15" s="19"/>
      <c r="AB15" s="19"/>
      <c r="AC15" s="39"/>
      <c r="AD15" s="19"/>
      <c r="AE15" s="19"/>
      <c r="AF15" s="38"/>
      <c r="AG15" s="19"/>
      <c r="AH15" s="19"/>
      <c r="AI15" s="38"/>
      <c r="AJ15" s="19"/>
      <c r="AK15" s="19"/>
      <c r="AL15" s="38"/>
      <c r="AM15" s="19"/>
      <c r="AN15" s="19"/>
      <c r="AO15" s="38"/>
      <c r="AP15" s="19"/>
      <c r="AQ15" s="19"/>
      <c r="AR15" s="38"/>
      <c r="AS15" s="19"/>
      <c r="AT15" s="19"/>
      <c r="AU15" s="38"/>
      <c r="AV15" s="19"/>
      <c r="AW15" s="19"/>
      <c r="AX15" s="39"/>
      <c r="AY15" s="38"/>
      <c r="AZ15" s="21"/>
      <c r="BA15" s="22"/>
    </row>
    <row r="16" spans="1:53" ht="14.5" customHeight="1" x14ac:dyDescent="0.2">
      <c r="A16" s="54">
        <v>1</v>
      </c>
      <c r="B16" s="53" t="s">
        <v>10</v>
      </c>
      <c r="C16" s="57">
        <v>1800</v>
      </c>
      <c r="D16" s="57">
        <v>2000</v>
      </c>
      <c r="E16" s="39">
        <f>'Setoran 3'!C16</f>
        <v>0</v>
      </c>
      <c r="F16" s="19">
        <f t="shared" si="0"/>
        <v>0</v>
      </c>
      <c r="G16" s="19">
        <f t="shared" si="1"/>
        <v>0</v>
      </c>
      <c r="H16" s="39">
        <f>'Setoran 3'!D16</f>
        <v>0</v>
      </c>
      <c r="I16" s="19">
        <f t="shared" si="2"/>
        <v>0</v>
      </c>
      <c r="J16" s="19">
        <f t="shared" si="3"/>
        <v>0</v>
      </c>
      <c r="K16" s="39">
        <f>'Setoran 3'!E16</f>
        <v>0</v>
      </c>
      <c r="L16" s="19">
        <f t="shared" si="4"/>
        <v>0</v>
      </c>
      <c r="M16" s="19">
        <f t="shared" si="5"/>
        <v>0</v>
      </c>
      <c r="N16" s="39">
        <f>'Setoran 3'!F16</f>
        <v>0</v>
      </c>
      <c r="O16" s="19">
        <f t="shared" si="6"/>
        <v>0</v>
      </c>
      <c r="P16" s="19">
        <f t="shared" si="7"/>
        <v>0</v>
      </c>
      <c r="Q16" s="39">
        <f>'Setoran 3'!G16</f>
        <v>0</v>
      </c>
      <c r="R16" s="19">
        <f t="shared" si="8"/>
        <v>0</v>
      </c>
      <c r="S16" s="19">
        <f t="shared" si="9"/>
        <v>0</v>
      </c>
      <c r="T16" s="39">
        <f>'Setoran 3'!H16</f>
        <v>0</v>
      </c>
      <c r="U16" s="19">
        <f t="shared" si="10"/>
        <v>0</v>
      </c>
      <c r="V16" s="19">
        <f t="shared" si="11"/>
        <v>0</v>
      </c>
      <c r="W16" s="39">
        <f>'Setoran 3'!I16</f>
        <v>0</v>
      </c>
      <c r="X16" s="19">
        <f t="shared" si="12"/>
        <v>0</v>
      </c>
      <c r="Y16" s="19">
        <f t="shared" si="13"/>
        <v>0</v>
      </c>
      <c r="Z16" s="39">
        <f>'Setoran 3'!J16</f>
        <v>0</v>
      </c>
      <c r="AA16" s="19">
        <f t="shared" si="14"/>
        <v>0</v>
      </c>
      <c r="AB16" s="19">
        <f t="shared" si="15"/>
        <v>0</v>
      </c>
      <c r="AC16" s="39">
        <f>'Setoran 3'!K16</f>
        <v>0</v>
      </c>
      <c r="AD16" s="19">
        <f t="shared" si="16"/>
        <v>0</v>
      </c>
      <c r="AE16" s="19">
        <f t="shared" si="17"/>
        <v>0</v>
      </c>
      <c r="AF16" s="38">
        <f>'Setoran 3'!L16</f>
        <v>0</v>
      </c>
      <c r="AG16" s="19">
        <f t="shared" si="18"/>
        <v>0</v>
      </c>
      <c r="AH16" s="19">
        <f t="shared" si="19"/>
        <v>0</v>
      </c>
      <c r="AI16" s="38">
        <f>'Setoran 3'!M16</f>
        <v>0</v>
      </c>
      <c r="AJ16" s="19">
        <f t="shared" si="20"/>
        <v>0</v>
      </c>
      <c r="AK16" s="19">
        <f t="shared" si="21"/>
        <v>0</v>
      </c>
      <c r="AL16" s="38">
        <f>'Setoran 3'!N16</f>
        <v>0</v>
      </c>
      <c r="AM16" s="19">
        <f t="shared" si="22"/>
        <v>0</v>
      </c>
      <c r="AN16" s="19">
        <f t="shared" si="23"/>
        <v>0</v>
      </c>
      <c r="AO16" s="38">
        <f>'Setoran 3'!O16</f>
        <v>0</v>
      </c>
      <c r="AP16" s="19">
        <f t="shared" si="24"/>
        <v>0</v>
      </c>
      <c r="AQ16" s="19">
        <f t="shared" si="25"/>
        <v>0</v>
      </c>
      <c r="AR16" s="38">
        <f>'Setoran 3'!P16</f>
        <v>0</v>
      </c>
      <c r="AS16" s="19">
        <f t="shared" si="26"/>
        <v>0</v>
      </c>
      <c r="AT16" s="19">
        <f t="shared" si="27"/>
        <v>0</v>
      </c>
      <c r="AU16" s="38">
        <f>'Setoran 3'!Q16</f>
        <v>0</v>
      </c>
      <c r="AV16" s="19">
        <f t="shared" si="28"/>
        <v>0</v>
      </c>
      <c r="AW16" s="19">
        <f t="shared" si="29"/>
        <v>0</v>
      </c>
      <c r="AX16" s="39">
        <f t="shared" si="30"/>
        <v>0</v>
      </c>
      <c r="AY16" s="38">
        <f t="shared" si="31"/>
        <v>0</v>
      </c>
      <c r="AZ16" s="21">
        <f t="shared" si="32"/>
        <v>0</v>
      </c>
      <c r="BA16" s="22">
        <f t="shared" si="33"/>
        <v>0</v>
      </c>
    </row>
    <row r="17" spans="1:53" ht="14.5" customHeight="1" x14ac:dyDescent="0.2">
      <c r="A17" s="54">
        <v>2</v>
      </c>
      <c r="B17" s="53" t="s">
        <v>75</v>
      </c>
      <c r="C17" s="57">
        <v>3300</v>
      </c>
      <c r="D17" s="57">
        <v>3500</v>
      </c>
      <c r="E17" s="39">
        <f>'Setoran 3'!C17</f>
        <v>0</v>
      </c>
      <c r="F17" s="19">
        <f t="shared" si="0"/>
        <v>0</v>
      </c>
      <c r="G17" s="19">
        <f t="shared" si="1"/>
        <v>0</v>
      </c>
      <c r="H17" s="39">
        <f>'Setoran 3'!D17</f>
        <v>0</v>
      </c>
      <c r="I17" s="19">
        <f t="shared" si="2"/>
        <v>0</v>
      </c>
      <c r="J17" s="19">
        <f t="shared" si="3"/>
        <v>0</v>
      </c>
      <c r="K17" s="39">
        <f>'Setoran 3'!E17</f>
        <v>0</v>
      </c>
      <c r="L17" s="19">
        <f t="shared" si="4"/>
        <v>0</v>
      </c>
      <c r="M17" s="19">
        <f t="shared" si="5"/>
        <v>0</v>
      </c>
      <c r="N17" s="39">
        <f>'Setoran 3'!F17</f>
        <v>0</v>
      </c>
      <c r="O17" s="19">
        <f t="shared" si="6"/>
        <v>0</v>
      </c>
      <c r="P17" s="19">
        <f t="shared" si="7"/>
        <v>0</v>
      </c>
      <c r="Q17" s="39">
        <f>'Setoran 3'!G17</f>
        <v>0</v>
      </c>
      <c r="R17" s="19">
        <f t="shared" si="8"/>
        <v>0</v>
      </c>
      <c r="S17" s="19">
        <f t="shared" si="9"/>
        <v>0</v>
      </c>
      <c r="T17" s="39">
        <f>'Setoran 3'!H17</f>
        <v>0</v>
      </c>
      <c r="U17" s="19">
        <f t="shared" si="10"/>
        <v>0</v>
      </c>
      <c r="V17" s="19">
        <f t="shared" si="11"/>
        <v>0</v>
      </c>
      <c r="W17" s="39">
        <f>'Setoran 3'!I17</f>
        <v>0</v>
      </c>
      <c r="X17" s="19">
        <f t="shared" si="12"/>
        <v>0</v>
      </c>
      <c r="Y17" s="19">
        <f t="shared" si="13"/>
        <v>0</v>
      </c>
      <c r="Z17" s="39">
        <f>'Setoran 3'!J17</f>
        <v>0</v>
      </c>
      <c r="AA17" s="19">
        <f t="shared" si="14"/>
        <v>0</v>
      </c>
      <c r="AB17" s="19">
        <f t="shared" si="15"/>
        <v>0</v>
      </c>
      <c r="AC17" s="39">
        <f>'Setoran 3'!K17</f>
        <v>0</v>
      </c>
      <c r="AD17" s="19">
        <f t="shared" si="16"/>
        <v>0</v>
      </c>
      <c r="AE17" s="19">
        <f t="shared" si="17"/>
        <v>0</v>
      </c>
      <c r="AF17" s="38">
        <f>'Setoran 3'!L17</f>
        <v>0</v>
      </c>
      <c r="AG17" s="19">
        <f t="shared" si="18"/>
        <v>0</v>
      </c>
      <c r="AH17" s="19">
        <f t="shared" si="19"/>
        <v>0</v>
      </c>
      <c r="AI17" s="38">
        <f>'Setoran 3'!M17</f>
        <v>0</v>
      </c>
      <c r="AJ17" s="19">
        <f t="shared" si="20"/>
        <v>0</v>
      </c>
      <c r="AK17" s="19">
        <f t="shared" si="21"/>
        <v>0</v>
      </c>
      <c r="AL17" s="38">
        <f>'Setoran 3'!N17</f>
        <v>0</v>
      </c>
      <c r="AM17" s="19">
        <f t="shared" si="22"/>
        <v>0</v>
      </c>
      <c r="AN17" s="19">
        <f t="shared" si="23"/>
        <v>0</v>
      </c>
      <c r="AO17" s="38">
        <f>'Setoran 3'!O17</f>
        <v>0</v>
      </c>
      <c r="AP17" s="19">
        <f t="shared" si="24"/>
        <v>0</v>
      </c>
      <c r="AQ17" s="19">
        <f t="shared" si="25"/>
        <v>0</v>
      </c>
      <c r="AR17" s="38">
        <f>'Setoran 3'!P17</f>
        <v>0</v>
      </c>
      <c r="AS17" s="19">
        <f t="shared" si="26"/>
        <v>0</v>
      </c>
      <c r="AT17" s="19">
        <f t="shared" si="27"/>
        <v>0</v>
      </c>
      <c r="AU17" s="38">
        <f>'Setoran 3'!Q17</f>
        <v>0</v>
      </c>
      <c r="AV17" s="19">
        <f t="shared" si="28"/>
        <v>0</v>
      </c>
      <c r="AW17" s="19">
        <f t="shared" si="29"/>
        <v>0</v>
      </c>
      <c r="AX17" s="39">
        <f t="shared" si="30"/>
        <v>0</v>
      </c>
      <c r="AY17" s="38">
        <f t="shared" si="31"/>
        <v>0</v>
      </c>
      <c r="AZ17" s="21">
        <f t="shared" si="32"/>
        <v>0</v>
      </c>
      <c r="BA17" s="22">
        <f t="shared" si="33"/>
        <v>0</v>
      </c>
    </row>
    <row r="18" spans="1:53" ht="14.5" customHeight="1" x14ac:dyDescent="0.2">
      <c r="A18" s="54">
        <v>3</v>
      </c>
      <c r="B18" s="61" t="s">
        <v>76</v>
      </c>
      <c r="C18" s="57">
        <v>2300</v>
      </c>
      <c r="D18" s="57">
        <v>2500</v>
      </c>
      <c r="E18" s="39">
        <f>'Setoran 3'!C18</f>
        <v>0</v>
      </c>
      <c r="F18" s="19">
        <f t="shared" si="0"/>
        <v>0</v>
      </c>
      <c r="G18" s="19">
        <f t="shared" si="1"/>
        <v>0</v>
      </c>
      <c r="H18" s="39">
        <f>'Setoran 3'!D18</f>
        <v>0</v>
      </c>
      <c r="I18" s="19">
        <f t="shared" si="2"/>
        <v>0</v>
      </c>
      <c r="J18" s="19">
        <f t="shared" si="3"/>
        <v>0</v>
      </c>
      <c r="K18" s="39">
        <f>'Setoran 3'!E18</f>
        <v>0</v>
      </c>
      <c r="L18" s="19">
        <f t="shared" si="4"/>
        <v>0</v>
      </c>
      <c r="M18" s="19">
        <f t="shared" si="5"/>
        <v>0</v>
      </c>
      <c r="N18" s="39">
        <f>'Setoran 3'!F18</f>
        <v>0</v>
      </c>
      <c r="O18" s="19">
        <f t="shared" si="6"/>
        <v>0</v>
      </c>
      <c r="P18" s="19">
        <f t="shared" si="7"/>
        <v>0</v>
      </c>
      <c r="Q18" s="39">
        <f>'Setoran 3'!G18</f>
        <v>0</v>
      </c>
      <c r="R18" s="19">
        <f t="shared" si="8"/>
        <v>0</v>
      </c>
      <c r="S18" s="19">
        <f t="shared" si="9"/>
        <v>0</v>
      </c>
      <c r="T18" s="39">
        <f>'Setoran 3'!H18</f>
        <v>0</v>
      </c>
      <c r="U18" s="19">
        <f t="shared" si="10"/>
        <v>0</v>
      </c>
      <c r="V18" s="19">
        <f t="shared" si="11"/>
        <v>0</v>
      </c>
      <c r="W18" s="39">
        <f>'Setoran 3'!I18</f>
        <v>0</v>
      </c>
      <c r="X18" s="19">
        <f t="shared" si="12"/>
        <v>0</v>
      </c>
      <c r="Y18" s="19">
        <f t="shared" si="13"/>
        <v>0</v>
      </c>
      <c r="Z18" s="39">
        <f>'Setoran 3'!J18</f>
        <v>0</v>
      </c>
      <c r="AA18" s="19">
        <f t="shared" si="14"/>
        <v>0</v>
      </c>
      <c r="AB18" s="19">
        <f t="shared" si="15"/>
        <v>0</v>
      </c>
      <c r="AC18" s="39">
        <f>'Setoran 3'!K18</f>
        <v>0</v>
      </c>
      <c r="AD18" s="19">
        <f t="shared" si="16"/>
        <v>0</v>
      </c>
      <c r="AE18" s="19">
        <f t="shared" si="17"/>
        <v>0</v>
      </c>
      <c r="AF18" s="38">
        <f>'Setoran 3'!L18</f>
        <v>0</v>
      </c>
      <c r="AG18" s="19">
        <f t="shared" si="18"/>
        <v>0</v>
      </c>
      <c r="AH18" s="19">
        <f t="shared" si="19"/>
        <v>0</v>
      </c>
      <c r="AI18" s="38">
        <f>'Setoran 3'!M18</f>
        <v>0</v>
      </c>
      <c r="AJ18" s="19">
        <f t="shared" si="20"/>
        <v>0</v>
      </c>
      <c r="AK18" s="19">
        <f t="shared" si="21"/>
        <v>0</v>
      </c>
      <c r="AL18" s="38">
        <f>'Setoran 3'!N18</f>
        <v>0</v>
      </c>
      <c r="AM18" s="19">
        <f t="shared" si="22"/>
        <v>0</v>
      </c>
      <c r="AN18" s="19">
        <f t="shared" si="23"/>
        <v>0</v>
      </c>
      <c r="AO18" s="38">
        <f>'Setoran 3'!O18</f>
        <v>0</v>
      </c>
      <c r="AP18" s="19">
        <f t="shared" si="24"/>
        <v>0</v>
      </c>
      <c r="AQ18" s="19">
        <f t="shared" si="25"/>
        <v>0</v>
      </c>
      <c r="AR18" s="38">
        <f>'Setoran 3'!P18</f>
        <v>0</v>
      </c>
      <c r="AS18" s="19">
        <f t="shared" si="26"/>
        <v>0</v>
      </c>
      <c r="AT18" s="19">
        <f t="shared" si="27"/>
        <v>0</v>
      </c>
      <c r="AU18" s="38">
        <f>'Setoran 3'!Q18</f>
        <v>0</v>
      </c>
      <c r="AV18" s="19">
        <f t="shared" si="28"/>
        <v>0</v>
      </c>
      <c r="AW18" s="19">
        <f t="shared" si="29"/>
        <v>0</v>
      </c>
      <c r="AX18" s="39">
        <f t="shared" si="30"/>
        <v>0</v>
      </c>
      <c r="AY18" s="38">
        <f t="shared" si="31"/>
        <v>0</v>
      </c>
      <c r="AZ18" s="21">
        <f t="shared" si="32"/>
        <v>0</v>
      </c>
      <c r="BA18" s="22">
        <f t="shared" si="33"/>
        <v>0</v>
      </c>
    </row>
    <row r="19" spans="1:53" ht="14.5" customHeight="1" x14ac:dyDescent="0.2">
      <c r="A19" s="54">
        <v>4</v>
      </c>
      <c r="B19" s="53" t="s">
        <v>11</v>
      </c>
      <c r="C19" s="57">
        <v>2700</v>
      </c>
      <c r="D19" s="57">
        <v>3000</v>
      </c>
      <c r="E19" s="39">
        <f>'Setoran 3'!C19</f>
        <v>0</v>
      </c>
      <c r="F19" s="19">
        <f t="shared" si="0"/>
        <v>0</v>
      </c>
      <c r="G19" s="19">
        <f t="shared" si="1"/>
        <v>0</v>
      </c>
      <c r="H19" s="39">
        <f>'Setoran 3'!D19</f>
        <v>0</v>
      </c>
      <c r="I19" s="19">
        <f t="shared" si="2"/>
        <v>0</v>
      </c>
      <c r="J19" s="19">
        <f t="shared" si="3"/>
        <v>0</v>
      </c>
      <c r="K19" s="39">
        <f>'Setoran 3'!E19</f>
        <v>0</v>
      </c>
      <c r="L19" s="19">
        <f t="shared" si="4"/>
        <v>0</v>
      </c>
      <c r="M19" s="19">
        <f t="shared" si="5"/>
        <v>0</v>
      </c>
      <c r="N19" s="39">
        <f>'Setoran 3'!F19</f>
        <v>0</v>
      </c>
      <c r="O19" s="19">
        <f t="shared" si="6"/>
        <v>0</v>
      </c>
      <c r="P19" s="19">
        <f t="shared" si="7"/>
        <v>0</v>
      </c>
      <c r="Q19" s="39">
        <f>'Setoran 3'!G19</f>
        <v>0</v>
      </c>
      <c r="R19" s="19">
        <f t="shared" si="8"/>
        <v>0</v>
      </c>
      <c r="S19" s="19">
        <f t="shared" si="9"/>
        <v>0</v>
      </c>
      <c r="T19" s="39">
        <f>'Setoran 3'!H19</f>
        <v>0</v>
      </c>
      <c r="U19" s="19">
        <f t="shared" si="10"/>
        <v>0</v>
      </c>
      <c r="V19" s="19">
        <f t="shared" si="11"/>
        <v>0</v>
      </c>
      <c r="W19" s="39">
        <f>'Setoran 3'!I19</f>
        <v>0</v>
      </c>
      <c r="X19" s="19">
        <f t="shared" si="12"/>
        <v>0</v>
      </c>
      <c r="Y19" s="19">
        <f t="shared" si="13"/>
        <v>0</v>
      </c>
      <c r="Z19" s="39">
        <f>'Setoran 3'!J19</f>
        <v>0</v>
      </c>
      <c r="AA19" s="19">
        <f t="shared" si="14"/>
        <v>0</v>
      </c>
      <c r="AB19" s="19">
        <f t="shared" si="15"/>
        <v>0</v>
      </c>
      <c r="AC19" s="39">
        <f>'Setoran 3'!K19</f>
        <v>0</v>
      </c>
      <c r="AD19" s="19">
        <f t="shared" si="16"/>
        <v>0</v>
      </c>
      <c r="AE19" s="19">
        <f t="shared" si="17"/>
        <v>0</v>
      </c>
      <c r="AF19" s="38">
        <f>'Setoran 3'!L19</f>
        <v>0</v>
      </c>
      <c r="AG19" s="19">
        <f t="shared" si="18"/>
        <v>0</v>
      </c>
      <c r="AH19" s="19">
        <f t="shared" si="19"/>
        <v>0</v>
      </c>
      <c r="AI19" s="38">
        <f>'Setoran 3'!M19</f>
        <v>0</v>
      </c>
      <c r="AJ19" s="19">
        <f t="shared" si="20"/>
        <v>0</v>
      </c>
      <c r="AK19" s="19">
        <f t="shared" si="21"/>
        <v>0</v>
      </c>
      <c r="AL19" s="38">
        <f>'Setoran 3'!N19</f>
        <v>0</v>
      </c>
      <c r="AM19" s="19">
        <f t="shared" si="22"/>
        <v>0</v>
      </c>
      <c r="AN19" s="19">
        <f t="shared" si="23"/>
        <v>0</v>
      </c>
      <c r="AO19" s="38">
        <f>'Setoran 3'!O19</f>
        <v>0</v>
      </c>
      <c r="AP19" s="19">
        <f t="shared" si="24"/>
        <v>0</v>
      </c>
      <c r="AQ19" s="19">
        <f t="shared" si="25"/>
        <v>0</v>
      </c>
      <c r="AR19" s="38">
        <f>'Setoran 3'!P19</f>
        <v>0</v>
      </c>
      <c r="AS19" s="19">
        <f t="shared" si="26"/>
        <v>0</v>
      </c>
      <c r="AT19" s="19">
        <f t="shared" si="27"/>
        <v>0</v>
      </c>
      <c r="AU19" s="38">
        <f>'Setoran 3'!Q19</f>
        <v>0</v>
      </c>
      <c r="AV19" s="19">
        <f t="shared" si="28"/>
        <v>0</v>
      </c>
      <c r="AW19" s="19">
        <f t="shared" si="29"/>
        <v>0</v>
      </c>
      <c r="AX19" s="39">
        <f t="shared" si="30"/>
        <v>0</v>
      </c>
      <c r="AY19" s="38">
        <f t="shared" si="31"/>
        <v>0</v>
      </c>
      <c r="AZ19" s="21">
        <f t="shared" si="32"/>
        <v>0</v>
      </c>
      <c r="BA19" s="22">
        <f t="shared" si="33"/>
        <v>0</v>
      </c>
    </row>
    <row r="20" spans="1:53" ht="14.5" customHeight="1" x14ac:dyDescent="0.2">
      <c r="A20" s="54">
        <v>5</v>
      </c>
      <c r="B20" s="53" t="s">
        <v>12</v>
      </c>
      <c r="C20" s="57">
        <v>2700</v>
      </c>
      <c r="D20" s="57">
        <v>3000</v>
      </c>
      <c r="E20" s="39">
        <f>'Setoran 3'!C20</f>
        <v>0</v>
      </c>
      <c r="F20" s="19">
        <f t="shared" si="0"/>
        <v>0</v>
      </c>
      <c r="G20" s="19">
        <f t="shared" si="1"/>
        <v>0</v>
      </c>
      <c r="H20" s="39">
        <f>'Setoran 3'!D20</f>
        <v>0</v>
      </c>
      <c r="I20" s="19">
        <f t="shared" si="2"/>
        <v>0</v>
      </c>
      <c r="J20" s="19">
        <f t="shared" si="3"/>
        <v>0</v>
      </c>
      <c r="K20" s="39">
        <f>'Setoran 3'!E20</f>
        <v>0</v>
      </c>
      <c r="L20" s="19">
        <f t="shared" si="4"/>
        <v>0</v>
      </c>
      <c r="M20" s="19">
        <f t="shared" si="5"/>
        <v>0</v>
      </c>
      <c r="N20" s="39">
        <f>'Setoran 3'!F20</f>
        <v>0</v>
      </c>
      <c r="O20" s="19">
        <f t="shared" si="6"/>
        <v>0</v>
      </c>
      <c r="P20" s="19">
        <f t="shared" si="7"/>
        <v>0</v>
      </c>
      <c r="Q20" s="39">
        <f>'Setoran 3'!G20</f>
        <v>0</v>
      </c>
      <c r="R20" s="19">
        <f t="shared" si="8"/>
        <v>0</v>
      </c>
      <c r="S20" s="19">
        <f t="shared" si="9"/>
        <v>0</v>
      </c>
      <c r="T20" s="39">
        <f>'Setoran 3'!H20</f>
        <v>0</v>
      </c>
      <c r="U20" s="19">
        <f t="shared" si="10"/>
        <v>0</v>
      </c>
      <c r="V20" s="19">
        <f t="shared" si="11"/>
        <v>0</v>
      </c>
      <c r="W20" s="39">
        <f>'Setoran 3'!I20</f>
        <v>0</v>
      </c>
      <c r="X20" s="19">
        <f t="shared" si="12"/>
        <v>0</v>
      </c>
      <c r="Y20" s="19">
        <f t="shared" si="13"/>
        <v>0</v>
      </c>
      <c r="Z20" s="39">
        <f>'Setoran 3'!J20</f>
        <v>0</v>
      </c>
      <c r="AA20" s="19">
        <f t="shared" si="14"/>
        <v>0</v>
      </c>
      <c r="AB20" s="19">
        <f t="shared" si="15"/>
        <v>0</v>
      </c>
      <c r="AC20" s="39">
        <f>'Setoran 3'!K20</f>
        <v>0</v>
      </c>
      <c r="AD20" s="19">
        <f t="shared" si="16"/>
        <v>0</v>
      </c>
      <c r="AE20" s="19">
        <f t="shared" si="17"/>
        <v>0</v>
      </c>
      <c r="AF20" s="38">
        <f>'Setoran 3'!L20</f>
        <v>0</v>
      </c>
      <c r="AG20" s="19">
        <f t="shared" si="18"/>
        <v>0</v>
      </c>
      <c r="AH20" s="19">
        <f t="shared" si="19"/>
        <v>0</v>
      </c>
      <c r="AI20" s="38">
        <f>'Setoran 3'!M20</f>
        <v>0</v>
      </c>
      <c r="AJ20" s="19">
        <f t="shared" si="20"/>
        <v>0</v>
      </c>
      <c r="AK20" s="19">
        <f t="shared" si="21"/>
        <v>0</v>
      </c>
      <c r="AL20" s="38">
        <f>'Setoran 3'!N20</f>
        <v>0</v>
      </c>
      <c r="AM20" s="19">
        <f t="shared" si="22"/>
        <v>0</v>
      </c>
      <c r="AN20" s="19">
        <f t="shared" si="23"/>
        <v>0</v>
      </c>
      <c r="AO20" s="38">
        <f>'Setoran 3'!O20</f>
        <v>0</v>
      </c>
      <c r="AP20" s="19">
        <f t="shared" si="24"/>
        <v>0</v>
      </c>
      <c r="AQ20" s="19">
        <f t="shared" si="25"/>
        <v>0</v>
      </c>
      <c r="AR20" s="38">
        <f>'Setoran 3'!P20</f>
        <v>0</v>
      </c>
      <c r="AS20" s="19">
        <f t="shared" si="26"/>
        <v>0</v>
      </c>
      <c r="AT20" s="19">
        <f t="shared" si="27"/>
        <v>0</v>
      </c>
      <c r="AU20" s="38">
        <f>'Setoran 3'!Q20</f>
        <v>0</v>
      </c>
      <c r="AV20" s="19">
        <f t="shared" si="28"/>
        <v>0</v>
      </c>
      <c r="AW20" s="19">
        <f t="shared" si="29"/>
        <v>0</v>
      </c>
      <c r="AX20" s="39">
        <f t="shared" si="30"/>
        <v>0</v>
      </c>
      <c r="AY20" s="38">
        <f t="shared" si="31"/>
        <v>0</v>
      </c>
      <c r="AZ20" s="21">
        <f t="shared" si="32"/>
        <v>0</v>
      </c>
      <c r="BA20" s="22">
        <f t="shared" si="33"/>
        <v>0</v>
      </c>
    </row>
    <row r="21" spans="1:53" ht="14.5" customHeight="1" x14ac:dyDescent="0.2">
      <c r="A21" s="54">
        <v>6</v>
      </c>
      <c r="B21" s="53" t="s">
        <v>13</v>
      </c>
      <c r="C21" s="57">
        <v>1800</v>
      </c>
      <c r="D21" s="57">
        <v>2000</v>
      </c>
      <c r="E21" s="39">
        <f>'Setoran 3'!C21</f>
        <v>0</v>
      </c>
      <c r="F21" s="19">
        <f t="shared" si="0"/>
        <v>0</v>
      </c>
      <c r="G21" s="19">
        <f t="shared" si="1"/>
        <v>0</v>
      </c>
      <c r="H21" s="39">
        <f>'Setoran 3'!D21</f>
        <v>0</v>
      </c>
      <c r="I21" s="19">
        <f t="shared" si="2"/>
        <v>0</v>
      </c>
      <c r="J21" s="19">
        <f t="shared" si="3"/>
        <v>0</v>
      </c>
      <c r="K21" s="39">
        <f>'Setoran 3'!E21</f>
        <v>0</v>
      </c>
      <c r="L21" s="19">
        <f t="shared" si="4"/>
        <v>0</v>
      </c>
      <c r="M21" s="19">
        <f t="shared" si="5"/>
        <v>0</v>
      </c>
      <c r="N21" s="39">
        <f>'Setoran 3'!F21</f>
        <v>0</v>
      </c>
      <c r="O21" s="19">
        <f t="shared" si="6"/>
        <v>0</v>
      </c>
      <c r="P21" s="19">
        <f t="shared" si="7"/>
        <v>0</v>
      </c>
      <c r="Q21" s="39">
        <f>'Setoran 3'!G21</f>
        <v>0</v>
      </c>
      <c r="R21" s="19">
        <f t="shared" si="8"/>
        <v>0</v>
      </c>
      <c r="S21" s="19">
        <f t="shared" si="9"/>
        <v>0</v>
      </c>
      <c r="T21" s="39">
        <f>'Setoran 3'!H21</f>
        <v>0</v>
      </c>
      <c r="U21" s="19">
        <f t="shared" si="10"/>
        <v>0</v>
      </c>
      <c r="V21" s="19">
        <f t="shared" si="11"/>
        <v>0</v>
      </c>
      <c r="W21" s="39">
        <f>'Setoran 3'!I21</f>
        <v>0</v>
      </c>
      <c r="X21" s="19">
        <f t="shared" si="12"/>
        <v>0</v>
      </c>
      <c r="Y21" s="19">
        <f t="shared" si="13"/>
        <v>0</v>
      </c>
      <c r="Z21" s="39">
        <f>'Setoran 3'!J21</f>
        <v>0</v>
      </c>
      <c r="AA21" s="19">
        <f t="shared" si="14"/>
        <v>0</v>
      </c>
      <c r="AB21" s="19">
        <f t="shared" si="15"/>
        <v>0</v>
      </c>
      <c r="AC21" s="39">
        <f>'Setoran 3'!K21</f>
        <v>0</v>
      </c>
      <c r="AD21" s="19">
        <f t="shared" si="16"/>
        <v>0</v>
      </c>
      <c r="AE21" s="19">
        <f t="shared" si="17"/>
        <v>0</v>
      </c>
      <c r="AF21" s="38">
        <f>'Setoran 3'!L21</f>
        <v>0</v>
      </c>
      <c r="AG21" s="19">
        <f t="shared" si="18"/>
        <v>0</v>
      </c>
      <c r="AH21" s="19">
        <f t="shared" si="19"/>
        <v>0</v>
      </c>
      <c r="AI21" s="38">
        <f>'Setoran 3'!M21</f>
        <v>0</v>
      </c>
      <c r="AJ21" s="19">
        <f t="shared" si="20"/>
        <v>0</v>
      </c>
      <c r="AK21" s="19">
        <f t="shared" si="21"/>
        <v>0</v>
      </c>
      <c r="AL21" s="38">
        <f>'Setoran 3'!N21</f>
        <v>0</v>
      </c>
      <c r="AM21" s="19">
        <f t="shared" si="22"/>
        <v>0</v>
      </c>
      <c r="AN21" s="19">
        <f t="shared" si="23"/>
        <v>0</v>
      </c>
      <c r="AO21" s="38">
        <f>'Setoran 3'!O21</f>
        <v>0</v>
      </c>
      <c r="AP21" s="19">
        <f t="shared" si="24"/>
        <v>0</v>
      </c>
      <c r="AQ21" s="19">
        <f t="shared" si="25"/>
        <v>0</v>
      </c>
      <c r="AR21" s="38">
        <f>'Setoran 3'!P21</f>
        <v>0</v>
      </c>
      <c r="AS21" s="19">
        <f t="shared" si="26"/>
        <v>0</v>
      </c>
      <c r="AT21" s="19">
        <f t="shared" si="27"/>
        <v>0</v>
      </c>
      <c r="AU21" s="38">
        <f>'Setoran 3'!Q21</f>
        <v>0</v>
      </c>
      <c r="AV21" s="19">
        <f t="shared" si="28"/>
        <v>0</v>
      </c>
      <c r="AW21" s="19">
        <f t="shared" si="29"/>
        <v>0</v>
      </c>
      <c r="AX21" s="39">
        <f t="shared" si="30"/>
        <v>0</v>
      </c>
      <c r="AY21" s="38">
        <f t="shared" si="31"/>
        <v>0</v>
      </c>
      <c r="AZ21" s="21">
        <f t="shared" si="32"/>
        <v>0</v>
      </c>
      <c r="BA21" s="22">
        <f t="shared" si="33"/>
        <v>0</v>
      </c>
    </row>
    <row r="22" spans="1:53" ht="14.5" customHeight="1" x14ac:dyDescent="0.2">
      <c r="A22" s="54">
        <v>7</v>
      </c>
      <c r="B22" s="53" t="s">
        <v>14</v>
      </c>
      <c r="C22" s="57">
        <v>1100</v>
      </c>
      <c r="D22" s="57">
        <v>1200</v>
      </c>
      <c r="E22" s="39">
        <f>'Setoran 3'!C22</f>
        <v>0</v>
      </c>
      <c r="F22" s="19">
        <f t="shared" si="0"/>
        <v>0</v>
      </c>
      <c r="G22" s="19">
        <f t="shared" si="1"/>
        <v>0</v>
      </c>
      <c r="H22" s="39">
        <f>'Setoran 3'!D22</f>
        <v>0</v>
      </c>
      <c r="I22" s="19">
        <f t="shared" si="2"/>
        <v>0</v>
      </c>
      <c r="J22" s="19">
        <f t="shared" si="3"/>
        <v>0</v>
      </c>
      <c r="K22" s="39">
        <f>'Setoran 3'!E22</f>
        <v>0</v>
      </c>
      <c r="L22" s="19">
        <f t="shared" si="4"/>
        <v>0</v>
      </c>
      <c r="M22" s="19">
        <f t="shared" si="5"/>
        <v>0</v>
      </c>
      <c r="N22" s="39">
        <f>'Setoran 3'!F22</f>
        <v>0</v>
      </c>
      <c r="O22" s="19">
        <f t="shared" si="6"/>
        <v>0</v>
      </c>
      <c r="P22" s="19">
        <f t="shared" si="7"/>
        <v>0</v>
      </c>
      <c r="Q22" s="39">
        <f>'Setoran 3'!G22</f>
        <v>0</v>
      </c>
      <c r="R22" s="19">
        <f t="shared" si="8"/>
        <v>0</v>
      </c>
      <c r="S22" s="19">
        <f t="shared" si="9"/>
        <v>0</v>
      </c>
      <c r="T22" s="39">
        <f>'Setoran 3'!H22</f>
        <v>0</v>
      </c>
      <c r="U22" s="19">
        <f t="shared" si="10"/>
        <v>0</v>
      </c>
      <c r="V22" s="19">
        <f t="shared" si="11"/>
        <v>0</v>
      </c>
      <c r="W22" s="39">
        <f>'Setoran 3'!I22</f>
        <v>0</v>
      </c>
      <c r="X22" s="19">
        <f t="shared" si="12"/>
        <v>0</v>
      </c>
      <c r="Y22" s="19">
        <f t="shared" si="13"/>
        <v>0</v>
      </c>
      <c r="Z22" s="39">
        <f>'Setoran 3'!J22</f>
        <v>0</v>
      </c>
      <c r="AA22" s="19">
        <f t="shared" si="14"/>
        <v>0</v>
      </c>
      <c r="AB22" s="19">
        <f t="shared" si="15"/>
        <v>0</v>
      </c>
      <c r="AC22" s="39">
        <f>'Setoran 3'!K22</f>
        <v>0</v>
      </c>
      <c r="AD22" s="19">
        <f t="shared" si="16"/>
        <v>0</v>
      </c>
      <c r="AE22" s="19">
        <f t="shared" si="17"/>
        <v>0</v>
      </c>
      <c r="AF22" s="38">
        <f>'Setoran 3'!L22</f>
        <v>0</v>
      </c>
      <c r="AG22" s="19">
        <f t="shared" si="18"/>
        <v>0</v>
      </c>
      <c r="AH22" s="19">
        <f t="shared" si="19"/>
        <v>0</v>
      </c>
      <c r="AI22" s="38">
        <f>'Setoran 3'!M22</f>
        <v>0</v>
      </c>
      <c r="AJ22" s="19">
        <f t="shared" si="20"/>
        <v>0</v>
      </c>
      <c r="AK22" s="19">
        <f t="shared" si="21"/>
        <v>0</v>
      </c>
      <c r="AL22" s="38">
        <f>'Setoran 3'!N22</f>
        <v>0</v>
      </c>
      <c r="AM22" s="19">
        <f t="shared" si="22"/>
        <v>0</v>
      </c>
      <c r="AN22" s="19">
        <f t="shared" si="23"/>
        <v>0</v>
      </c>
      <c r="AO22" s="38">
        <f>'Setoran 3'!O22</f>
        <v>0</v>
      </c>
      <c r="AP22" s="19">
        <f t="shared" si="24"/>
        <v>0</v>
      </c>
      <c r="AQ22" s="19">
        <f t="shared" si="25"/>
        <v>0</v>
      </c>
      <c r="AR22" s="38">
        <f>'Setoran 3'!P22</f>
        <v>0</v>
      </c>
      <c r="AS22" s="19">
        <f t="shared" si="26"/>
        <v>0</v>
      </c>
      <c r="AT22" s="19">
        <f t="shared" si="27"/>
        <v>0</v>
      </c>
      <c r="AU22" s="38">
        <f>'Setoran 3'!Q22</f>
        <v>0</v>
      </c>
      <c r="AV22" s="19">
        <f t="shared" si="28"/>
        <v>0</v>
      </c>
      <c r="AW22" s="19">
        <f t="shared" si="29"/>
        <v>0</v>
      </c>
      <c r="AX22" s="39">
        <f t="shared" si="30"/>
        <v>0</v>
      </c>
      <c r="AY22" s="38">
        <f t="shared" si="31"/>
        <v>0</v>
      </c>
      <c r="AZ22" s="21">
        <f t="shared" si="32"/>
        <v>0</v>
      </c>
      <c r="BA22" s="22">
        <f t="shared" si="33"/>
        <v>0</v>
      </c>
    </row>
    <row r="23" spans="1:53" ht="14.5" customHeight="1" x14ac:dyDescent="0.2">
      <c r="A23" s="54">
        <v>8</v>
      </c>
      <c r="B23" s="53" t="s">
        <v>15</v>
      </c>
      <c r="C23" s="57">
        <v>1400</v>
      </c>
      <c r="D23" s="57">
        <v>1500</v>
      </c>
      <c r="E23" s="39">
        <f>'Setoran 3'!C23</f>
        <v>0</v>
      </c>
      <c r="F23" s="19">
        <f t="shared" si="0"/>
        <v>0</v>
      </c>
      <c r="G23" s="19">
        <f t="shared" si="1"/>
        <v>0</v>
      </c>
      <c r="H23" s="39">
        <f>'Setoran 3'!D23</f>
        <v>0</v>
      </c>
      <c r="I23" s="19">
        <f t="shared" si="2"/>
        <v>0</v>
      </c>
      <c r="J23" s="19">
        <f t="shared" si="3"/>
        <v>0</v>
      </c>
      <c r="K23" s="39">
        <f>'Setoran 3'!E23</f>
        <v>0</v>
      </c>
      <c r="L23" s="19">
        <f t="shared" si="4"/>
        <v>0</v>
      </c>
      <c r="M23" s="19">
        <f t="shared" si="5"/>
        <v>0</v>
      </c>
      <c r="N23" s="39">
        <f>'Setoran 3'!F23</f>
        <v>0</v>
      </c>
      <c r="O23" s="19">
        <f t="shared" si="6"/>
        <v>0</v>
      </c>
      <c r="P23" s="19">
        <f t="shared" si="7"/>
        <v>0</v>
      </c>
      <c r="Q23" s="39">
        <f>'Setoran 3'!G23</f>
        <v>0</v>
      </c>
      <c r="R23" s="19">
        <f t="shared" si="8"/>
        <v>0</v>
      </c>
      <c r="S23" s="19">
        <f t="shared" si="9"/>
        <v>0</v>
      </c>
      <c r="T23" s="39">
        <f>'Setoran 3'!H23</f>
        <v>0</v>
      </c>
      <c r="U23" s="19">
        <f t="shared" si="10"/>
        <v>0</v>
      </c>
      <c r="V23" s="19">
        <f t="shared" si="11"/>
        <v>0</v>
      </c>
      <c r="W23" s="39">
        <f>'Setoran 3'!I23</f>
        <v>0</v>
      </c>
      <c r="X23" s="19">
        <f t="shared" si="12"/>
        <v>0</v>
      </c>
      <c r="Y23" s="19">
        <f t="shared" si="13"/>
        <v>0</v>
      </c>
      <c r="Z23" s="39">
        <f>'Setoran 3'!J23</f>
        <v>0</v>
      </c>
      <c r="AA23" s="19">
        <f t="shared" si="14"/>
        <v>0</v>
      </c>
      <c r="AB23" s="19">
        <f t="shared" si="15"/>
        <v>0</v>
      </c>
      <c r="AC23" s="39">
        <f>'Setoran 3'!K23</f>
        <v>0</v>
      </c>
      <c r="AD23" s="19">
        <f t="shared" si="16"/>
        <v>0</v>
      </c>
      <c r="AE23" s="19">
        <f t="shared" si="17"/>
        <v>0</v>
      </c>
      <c r="AF23" s="38">
        <f>'Setoran 3'!L23</f>
        <v>0</v>
      </c>
      <c r="AG23" s="19">
        <f t="shared" si="18"/>
        <v>0</v>
      </c>
      <c r="AH23" s="19">
        <f t="shared" si="19"/>
        <v>0</v>
      </c>
      <c r="AI23" s="38">
        <f>'Setoran 3'!M23</f>
        <v>0</v>
      </c>
      <c r="AJ23" s="19">
        <f t="shared" si="20"/>
        <v>0</v>
      </c>
      <c r="AK23" s="19">
        <f t="shared" si="21"/>
        <v>0</v>
      </c>
      <c r="AL23" s="38">
        <f>'Setoran 3'!N23</f>
        <v>0</v>
      </c>
      <c r="AM23" s="19">
        <f t="shared" si="22"/>
        <v>0</v>
      </c>
      <c r="AN23" s="19">
        <f t="shared" si="23"/>
        <v>0</v>
      </c>
      <c r="AO23" s="38">
        <f>'Setoran 3'!O23</f>
        <v>0</v>
      </c>
      <c r="AP23" s="19">
        <f t="shared" si="24"/>
        <v>0</v>
      </c>
      <c r="AQ23" s="19">
        <f t="shared" si="25"/>
        <v>0</v>
      </c>
      <c r="AR23" s="38">
        <f>'Setoran 3'!P23</f>
        <v>0</v>
      </c>
      <c r="AS23" s="19">
        <f t="shared" si="26"/>
        <v>0</v>
      </c>
      <c r="AT23" s="19">
        <f t="shared" si="27"/>
        <v>0</v>
      </c>
      <c r="AU23" s="38">
        <f>'Setoran 3'!Q23</f>
        <v>0</v>
      </c>
      <c r="AV23" s="19">
        <f t="shared" si="28"/>
        <v>0</v>
      </c>
      <c r="AW23" s="19">
        <f t="shared" si="29"/>
        <v>0</v>
      </c>
      <c r="AX23" s="39">
        <f t="shared" si="30"/>
        <v>0</v>
      </c>
      <c r="AY23" s="38">
        <f t="shared" si="31"/>
        <v>0</v>
      </c>
      <c r="AZ23" s="21">
        <f t="shared" si="32"/>
        <v>0</v>
      </c>
      <c r="BA23" s="22">
        <f t="shared" si="33"/>
        <v>0</v>
      </c>
    </row>
    <row r="24" spans="1:53" ht="14.5" customHeight="1" x14ac:dyDescent="0.2">
      <c r="A24" s="54">
        <v>9</v>
      </c>
      <c r="B24" s="53" t="s">
        <v>16</v>
      </c>
      <c r="C24" s="58">
        <v>400</v>
      </c>
      <c r="D24" s="58">
        <v>500</v>
      </c>
      <c r="E24" s="39">
        <f>'Setoran 3'!C24</f>
        <v>0</v>
      </c>
      <c r="F24" s="19">
        <f t="shared" si="0"/>
        <v>0</v>
      </c>
      <c r="G24" s="19">
        <f t="shared" si="1"/>
        <v>0</v>
      </c>
      <c r="H24" s="39">
        <f>'Setoran 3'!D24</f>
        <v>0</v>
      </c>
      <c r="I24" s="19">
        <f t="shared" si="2"/>
        <v>0</v>
      </c>
      <c r="J24" s="19">
        <f t="shared" si="3"/>
        <v>0</v>
      </c>
      <c r="K24" s="39">
        <f>'Setoran 3'!E24</f>
        <v>0</v>
      </c>
      <c r="L24" s="19">
        <f t="shared" si="4"/>
        <v>0</v>
      </c>
      <c r="M24" s="19">
        <f t="shared" si="5"/>
        <v>0</v>
      </c>
      <c r="N24" s="39">
        <f>'Setoran 3'!F24</f>
        <v>0</v>
      </c>
      <c r="O24" s="19">
        <f t="shared" si="6"/>
        <v>0</v>
      </c>
      <c r="P24" s="19">
        <f t="shared" si="7"/>
        <v>0</v>
      </c>
      <c r="Q24" s="39">
        <f>'Setoran 3'!G24</f>
        <v>0</v>
      </c>
      <c r="R24" s="19">
        <f t="shared" si="8"/>
        <v>0</v>
      </c>
      <c r="S24" s="19">
        <f t="shared" si="9"/>
        <v>0</v>
      </c>
      <c r="T24" s="39">
        <f>'Setoran 3'!H24</f>
        <v>0</v>
      </c>
      <c r="U24" s="19">
        <f t="shared" si="10"/>
        <v>0</v>
      </c>
      <c r="V24" s="19">
        <f t="shared" si="11"/>
        <v>0</v>
      </c>
      <c r="W24" s="39">
        <f>'Setoran 3'!I24</f>
        <v>0</v>
      </c>
      <c r="X24" s="19">
        <f t="shared" si="12"/>
        <v>0</v>
      </c>
      <c r="Y24" s="19">
        <f t="shared" si="13"/>
        <v>0</v>
      </c>
      <c r="Z24" s="39">
        <f>'Setoran 3'!J24</f>
        <v>0</v>
      </c>
      <c r="AA24" s="19">
        <f t="shared" si="14"/>
        <v>0</v>
      </c>
      <c r="AB24" s="19">
        <f t="shared" si="15"/>
        <v>0</v>
      </c>
      <c r="AC24" s="39">
        <f>'Setoran 3'!K24</f>
        <v>0</v>
      </c>
      <c r="AD24" s="19">
        <f t="shared" si="16"/>
        <v>0</v>
      </c>
      <c r="AE24" s="19">
        <f t="shared" si="17"/>
        <v>0</v>
      </c>
      <c r="AF24" s="38">
        <f>'Setoran 3'!L24</f>
        <v>0</v>
      </c>
      <c r="AG24" s="19">
        <f t="shared" si="18"/>
        <v>0</v>
      </c>
      <c r="AH24" s="19">
        <f t="shared" si="19"/>
        <v>0</v>
      </c>
      <c r="AI24" s="38">
        <f>'Setoran 3'!M24</f>
        <v>0</v>
      </c>
      <c r="AJ24" s="19">
        <f t="shared" si="20"/>
        <v>0</v>
      </c>
      <c r="AK24" s="19">
        <f t="shared" si="21"/>
        <v>0</v>
      </c>
      <c r="AL24" s="38">
        <f>'Setoran 3'!N24</f>
        <v>0</v>
      </c>
      <c r="AM24" s="19">
        <f t="shared" si="22"/>
        <v>0</v>
      </c>
      <c r="AN24" s="19">
        <f t="shared" si="23"/>
        <v>0</v>
      </c>
      <c r="AO24" s="38">
        <f>'Setoran 3'!O24</f>
        <v>0</v>
      </c>
      <c r="AP24" s="19">
        <f t="shared" si="24"/>
        <v>0</v>
      </c>
      <c r="AQ24" s="19">
        <f t="shared" si="25"/>
        <v>0</v>
      </c>
      <c r="AR24" s="38">
        <f>'Setoran 3'!P24</f>
        <v>0</v>
      </c>
      <c r="AS24" s="19">
        <f t="shared" si="26"/>
        <v>0</v>
      </c>
      <c r="AT24" s="19">
        <f t="shared" si="27"/>
        <v>0</v>
      </c>
      <c r="AU24" s="38">
        <f>'Setoran 3'!Q24</f>
        <v>0</v>
      </c>
      <c r="AV24" s="19">
        <f t="shared" si="28"/>
        <v>0</v>
      </c>
      <c r="AW24" s="19">
        <f t="shared" si="29"/>
        <v>0</v>
      </c>
      <c r="AX24" s="39">
        <f t="shared" si="30"/>
        <v>0</v>
      </c>
      <c r="AY24" s="38">
        <f t="shared" si="31"/>
        <v>0</v>
      </c>
      <c r="AZ24" s="21">
        <f t="shared" si="32"/>
        <v>0</v>
      </c>
      <c r="BA24" s="22">
        <f t="shared" si="33"/>
        <v>0</v>
      </c>
    </row>
    <row r="25" spans="1:53" ht="14.5" customHeight="1" x14ac:dyDescent="0.2">
      <c r="A25" s="54">
        <v>10</v>
      </c>
      <c r="B25" s="53" t="s">
        <v>21</v>
      </c>
      <c r="C25" s="57">
        <v>3800</v>
      </c>
      <c r="D25" s="57">
        <v>4000</v>
      </c>
      <c r="E25" s="39">
        <f>'Setoran 3'!C25</f>
        <v>0</v>
      </c>
      <c r="F25" s="19">
        <f t="shared" si="0"/>
        <v>0</v>
      </c>
      <c r="G25" s="19">
        <f t="shared" si="1"/>
        <v>0</v>
      </c>
      <c r="H25" s="39">
        <f>'Setoran 3'!D25</f>
        <v>0</v>
      </c>
      <c r="I25" s="19">
        <f t="shared" si="2"/>
        <v>0</v>
      </c>
      <c r="J25" s="19">
        <f t="shared" si="3"/>
        <v>0</v>
      </c>
      <c r="K25" s="39">
        <f>'Setoran 3'!E25</f>
        <v>0</v>
      </c>
      <c r="L25" s="19">
        <f t="shared" si="4"/>
        <v>0</v>
      </c>
      <c r="M25" s="19">
        <f t="shared" si="5"/>
        <v>0</v>
      </c>
      <c r="N25" s="39">
        <f>'Setoran 3'!F25</f>
        <v>0</v>
      </c>
      <c r="O25" s="19">
        <f t="shared" si="6"/>
        <v>0</v>
      </c>
      <c r="P25" s="19">
        <f t="shared" si="7"/>
        <v>0</v>
      </c>
      <c r="Q25" s="39">
        <f>'Setoran 3'!G25</f>
        <v>0</v>
      </c>
      <c r="R25" s="19">
        <f t="shared" si="8"/>
        <v>0</v>
      </c>
      <c r="S25" s="19">
        <f t="shared" si="9"/>
        <v>0</v>
      </c>
      <c r="T25" s="39">
        <f>'Setoran 3'!H25</f>
        <v>0</v>
      </c>
      <c r="U25" s="19">
        <f t="shared" si="10"/>
        <v>0</v>
      </c>
      <c r="V25" s="19">
        <f t="shared" si="11"/>
        <v>0</v>
      </c>
      <c r="W25" s="39">
        <f>'Setoran 3'!I25</f>
        <v>0</v>
      </c>
      <c r="X25" s="19">
        <f t="shared" si="12"/>
        <v>0</v>
      </c>
      <c r="Y25" s="19">
        <f t="shared" si="13"/>
        <v>0</v>
      </c>
      <c r="Z25" s="39">
        <f>'Setoran 3'!J25</f>
        <v>0</v>
      </c>
      <c r="AA25" s="19">
        <f t="shared" si="14"/>
        <v>0</v>
      </c>
      <c r="AB25" s="19">
        <f t="shared" si="15"/>
        <v>0</v>
      </c>
      <c r="AC25" s="39">
        <f>'Setoran 3'!K25</f>
        <v>0</v>
      </c>
      <c r="AD25" s="19">
        <f t="shared" si="16"/>
        <v>0</v>
      </c>
      <c r="AE25" s="19">
        <f t="shared" si="17"/>
        <v>0</v>
      </c>
      <c r="AF25" s="38">
        <f>'Setoran 3'!L25</f>
        <v>0</v>
      </c>
      <c r="AG25" s="19">
        <f t="shared" si="18"/>
        <v>0</v>
      </c>
      <c r="AH25" s="19">
        <f t="shared" si="19"/>
        <v>0</v>
      </c>
      <c r="AI25" s="38">
        <f>'Setoran 3'!M25</f>
        <v>0</v>
      </c>
      <c r="AJ25" s="19">
        <f t="shared" si="20"/>
        <v>0</v>
      </c>
      <c r="AK25" s="19">
        <f t="shared" si="21"/>
        <v>0</v>
      </c>
      <c r="AL25" s="38">
        <f>'Setoran 3'!N25</f>
        <v>0</v>
      </c>
      <c r="AM25" s="19">
        <f t="shared" si="22"/>
        <v>0</v>
      </c>
      <c r="AN25" s="19">
        <f t="shared" si="23"/>
        <v>0</v>
      </c>
      <c r="AO25" s="38">
        <f>'Setoran 3'!O25</f>
        <v>0</v>
      </c>
      <c r="AP25" s="19">
        <f t="shared" si="24"/>
        <v>0</v>
      </c>
      <c r="AQ25" s="19">
        <f t="shared" si="25"/>
        <v>0</v>
      </c>
      <c r="AR25" s="38">
        <f>'Setoran 3'!P25</f>
        <v>0</v>
      </c>
      <c r="AS25" s="19">
        <f t="shared" si="26"/>
        <v>0</v>
      </c>
      <c r="AT25" s="19">
        <f t="shared" si="27"/>
        <v>0</v>
      </c>
      <c r="AU25" s="38">
        <f>'Setoran 3'!Q25</f>
        <v>0</v>
      </c>
      <c r="AV25" s="19">
        <f t="shared" si="28"/>
        <v>0</v>
      </c>
      <c r="AW25" s="19">
        <f t="shared" si="29"/>
        <v>0</v>
      </c>
      <c r="AX25" s="39">
        <f t="shared" si="30"/>
        <v>0</v>
      </c>
      <c r="AY25" s="38">
        <f t="shared" si="31"/>
        <v>0</v>
      </c>
      <c r="AZ25" s="21">
        <f t="shared" si="32"/>
        <v>0</v>
      </c>
      <c r="BA25" s="22">
        <f t="shared" si="33"/>
        <v>0</v>
      </c>
    </row>
    <row r="26" spans="1:53" ht="14.5" customHeight="1" x14ac:dyDescent="0.2">
      <c r="A26" s="54">
        <v>11</v>
      </c>
      <c r="B26" s="53" t="s">
        <v>22</v>
      </c>
      <c r="C26" s="57">
        <v>1800</v>
      </c>
      <c r="D26" s="57">
        <v>2000</v>
      </c>
      <c r="E26" s="39">
        <f>'Setoran 3'!C26</f>
        <v>0</v>
      </c>
      <c r="F26" s="19">
        <f t="shared" si="0"/>
        <v>0</v>
      </c>
      <c r="G26" s="19">
        <f t="shared" si="1"/>
        <v>0</v>
      </c>
      <c r="H26" s="39">
        <f>'Setoran 3'!D26</f>
        <v>0</v>
      </c>
      <c r="I26" s="19">
        <f t="shared" si="2"/>
        <v>0</v>
      </c>
      <c r="J26" s="19">
        <f t="shared" si="3"/>
        <v>0</v>
      </c>
      <c r="K26" s="39">
        <f>'Setoran 3'!E26</f>
        <v>0</v>
      </c>
      <c r="L26" s="19">
        <f t="shared" si="4"/>
        <v>0</v>
      </c>
      <c r="M26" s="19">
        <f t="shared" si="5"/>
        <v>0</v>
      </c>
      <c r="N26" s="39">
        <f>'Setoran 3'!F26</f>
        <v>0</v>
      </c>
      <c r="O26" s="19">
        <f t="shared" si="6"/>
        <v>0</v>
      </c>
      <c r="P26" s="19">
        <f t="shared" si="7"/>
        <v>0</v>
      </c>
      <c r="Q26" s="39">
        <f>'Setoran 3'!G26</f>
        <v>0</v>
      </c>
      <c r="R26" s="19">
        <f t="shared" si="8"/>
        <v>0</v>
      </c>
      <c r="S26" s="19">
        <f t="shared" si="9"/>
        <v>0</v>
      </c>
      <c r="T26" s="39">
        <f>'Setoran 3'!H26</f>
        <v>0</v>
      </c>
      <c r="U26" s="19">
        <f t="shared" si="10"/>
        <v>0</v>
      </c>
      <c r="V26" s="19">
        <f t="shared" si="11"/>
        <v>0</v>
      </c>
      <c r="W26" s="39">
        <f>'Setoran 3'!I26</f>
        <v>0</v>
      </c>
      <c r="X26" s="19">
        <f t="shared" si="12"/>
        <v>0</v>
      </c>
      <c r="Y26" s="19">
        <f t="shared" si="13"/>
        <v>0</v>
      </c>
      <c r="Z26" s="39">
        <f>'Setoran 3'!J26</f>
        <v>0</v>
      </c>
      <c r="AA26" s="19">
        <f t="shared" si="14"/>
        <v>0</v>
      </c>
      <c r="AB26" s="19">
        <f t="shared" si="15"/>
        <v>0</v>
      </c>
      <c r="AC26" s="39">
        <f>'Setoran 3'!K26</f>
        <v>0</v>
      </c>
      <c r="AD26" s="19">
        <f t="shared" si="16"/>
        <v>0</v>
      </c>
      <c r="AE26" s="19">
        <f t="shared" si="17"/>
        <v>0</v>
      </c>
      <c r="AF26" s="38">
        <f>'Setoran 3'!L26</f>
        <v>0</v>
      </c>
      <c r="AG26" s="19">
        <f t="shared" si="18"/>
        <v>0</v>
      </c>
      <c r="AH26" s="19">
        <f t="shared" si="19"/>
        <v>0</v>
      </c>
      <c r="AI26" s="38">
        <f>'Setoran 3'!M26</f>
        <v>0</v>
      </c>
      <c r="AJ26" s="19">
        <f t="shared" si="20"/>
        <v>0</v>
      </c>
      <c r="AK26" s="19">
        <f t="shared" si="21"/>
        <v>0</v>
      </c>
      <c r="AL26" s="38">
        <f>'Setoran 3'!N26</f>
        <v>0</v>
      </c>
      <c r="AM26" s="19">
        <f t="shared" si="22"/>
        <v>0</v>
      </c>
      <c r="AN26" s="19">
        <f t="shared" si="23"/>
        <v>0</v>
      </c>
      <c r="AO26" s="38">
        <f>'Setoran 3'!O26</f>
        <v>0</v>
      </c>
      <c r="AP26" s="19">
        <f t="shared" si="24"/>
        <v>0</v>
      </c>
      <c r="AQ26" s="19">
        <f t="shared" si="25"/>
        <v>0</v>
      </c>
      <c r="AR26" s="38">
        <f>'Setoran 3'!P26</f>
        <v>0</v>
      </c>
      <c r="AS26" s="19">
        <f t="shared" si="26"/>
        <v>0</v>
      </c>
      <c r="AT26" s="19">
        <f t="shared" si="27"/>
        <v>0</v>
      </c>
      <c r="AU26" s="38">
        <f>'Setoran 3'!Q26</f>
        <v>0</v>
      </c>
      <c r="AV26" s="19">
        <f t="shared" si="28"/>
        <v>0</v>
      </c>
      <c r="AW26" s="19">
        <f t="shared" si="29"/>
        <v>0</v>
      </c>
      <c r="AX26" s="39">
        <f t="shared" si="30"/>
        <v>0</v>
      </c>
      <c r="AY26" s="38">
        <f t="shared" si="31"/>
        <v>0</v>
      </c>
      <c r="AZ26" s="21">
        <f t="shared" si="32"/>
        <v>0</v>
      </c>
      <c r="BA26" s="22">
        <f t="shared" si="33"/>
        <v>0</v>
      </c>
    </row>
    <row r="27" spans="1:53" ht="14.5" customHeight="1" x14ac:dyDescent="0.2">
      <c r="A27" s="78" t="s">
        <v>83</v>
      </c>
      <c r="B27" s="78"/>
      <c r="C27" s="62"/>
      <c r="D27" s="62"/>
      <c r="E27" s="39"/>
      <c r="F27" s="19"/>
      <c r="G27" s="19"/>
      <c r="H27" s="39"/>
      <c r="I27" s="19"/>
      <c r="J27" s="19"/>
      <c r="K27" s="39"/>
      <c r="L27" s="19"/>
      <c r="M27" s="19"/>
      <c r="N27" s="39"/>
      <c r="O27" s="19"/>
      <c r="P27" s="19"/>
      <c r="Q27" s="39"/>
      <c r="R27" s="19"/>
      <c r="S27" s="19"/>
      <c r="T27" s="39"/>
      <c r="U27" s="19"/>
      <c r="V27" s="19"/>
      <c r="W27" s="39"/>
      <c r="X27" s="19"/>
      <c r="Y27" s="19"/>
      <c r="Z27" s="39"/>
      <c r="AA27" s="19"/>
      <c r="AB27" s="19"/>
      <c r="AC27" s="39"/>
      <c r="AD27" s="19"/>
      <c r="AE27" s="19"/>
      <c r="AF27" s="38"/>
      <c r="AG27" s="19"/>
      <c r="AH27" s="19"/>
      <c r="AI27" s="38"/>
      <c r="AJ27" s="19"/>
      <c r="AK27" s="19"/>
      <c r="AL27" s="38"/>
      <c r="AM27" s="19"/>
      <c r="AN27" s="19"/>
      <c r="AO27" s="38"/>
      <c r="AP27" s="19"/>
      <c r="AQ27" s="19"/>
      <c r="AR27" s="38"/>
      <c r="AS27" s="19"/>
      <c r="AT27" s="19"/>
      <c r="AU27" s="38"/>
      <c r="AV27" s="19"/>
      <c r="AW27" s="19"/>
      <c r="AX27" s="39"/>
      <c r="AY27" s="38"/>
      <c r="AZ27" s="21"/>
      <c r="BA27" s="22"/>
    </row>
    <row r="28" spans="1:53" ht="14.5" customHeight="1" x14ac:dyDescent="0.2">
      <c r="A28" s="54">
        <v>1</v>
      </c>
      <c r="B28" s="53" t="s">
        <v>17</v>
      </c>
      <c r="C28" s="57">
        <v>1300</v>
      </c>
      <c r="D28" s="57">
        <v>1500</v>
      </c>
      <c r="E28" s="39">
        <f>'Setoran 3'!C28</f>
        <v>0</v>
      </c>
      <c r="F28" s="19">
        <f t="shared" si="0"/>
        <v>0</v>
      </c>
      <c r="G28" s="19">
        <f t="shared" si="1"/>
        <v>0</v>
      </c>
      <c r="H28" s="39">
        <f>'Setoran 3'!D28</f>
        <v>0</v>
      </c>
      <c r="I28" s="19">
        <f t="shared" si="2"/>
        <v>0</v>
      </c>
      <c r="J28" s="19">
        <f t="shared" si="3"/>
        <v>0</v>
      </c>
      <c r="K28" s="39">
        <f>'Setoran 3'!E28</f>
        <v>0</v>
      </c>
      <c r="L28" s="19">
        <f t="shared" si="4"/>
        <v>0</v>
      </c>
      <c r="M28" s="19">
        <f t="shared" si="5"/>
        <v>0</v>
      </c>
      <c r="N28" s="39">
        <f>'Setoran 3'!F28</f>
        <v>0</v>
      </c>
      <c r="O28" s="19">
        <f t="shared" si="6"/>
        <v>0</v>
      </c>
      <c r="P28" s="19">
        <f t="shared" si="7"/>
        <v>0</v>
      </c>
      <c r="Q28" s="39">
        <f>'Setoran 3'!G28</f>
        <v>0</v>
      </c>
      <c r="R28" s="19">
        <f t="shared" si="8"/>
        <v>0</v>
      </c>
      <c r="S28" s="19">
        <f t="shared" si="9"/>
        <v>0</v>
      </c>
      <c r="T28" s="39">
        <f>'Setoran 3'!H28</f>
        <v>0</v>
      </c>
      <c r="U28" s="19">
        <f t="shared" si="10"/>
        <v>0</v>
      </c>
      <c r="V28" s="19">
        <f t="shared" si="11"/>
        <v>0</v>
      </c>
      <c r="W28" s="39">
        <f>'Setoran 3'!I28</f>
        <v>0</v>
      </c>
      <c r="X28" s="19">
        <f t="shared" si="12"/>
        <v>0</v>
      </c>
      <c r="Y28" s="19">
        <f t="shared" si="13"/>
        <v>0</v>
      </c>
      <c r="Z28" s="39">
        <f>'Setoran 3'!J28</f>
        <v>0</v>
      </c>
      <c r="AA28" s="19">
        <f t="shared" si="14"/>
        <v>0</v>
      </c>
      <c r="AB28" s="19">
        <f t="shared" si="15"/>
        <v>0</v>
      </c>
      <c r="AC28" s="39">
        <f>'Setoran 3'!K28</f>
        <v>0</v>
      </c>
      <c r="AD28" s="19">
        <f t="shared" si="16"/>
        <v>0</v>
      </c>
      <c r="AE28" s="19">
        <f t="shared" si="17"/>
        <v>0</v>
      </c>
      <c r="AF28" s="38">
        <f>'Setoran 3'!L28</f>
        <v>0</v>
      </c>
      <c r="AG28" s="19">
        <f t="shared" si="18"/>
        <v>0</v>
      </c>
      <c r="AH28" s="19">
        <f t="shared" si="19"/>
        <v>0</v>
      </c>
      <c r="AI28" s="38">
        <f>'Setoran 3'!M28</f>
        <v>0</v>
      </c>
      <c r="AJ28" s="19">
        <f t="shared" si="20"/>
        <v>0</v>
      </c>
      <c r="AK28" s="19">
        <f t="shared" si="21"/>
        <v>0</v>
      </c>
      <c r="AL28" s="38">
        <f>'Setoran 3'!N28</f>
        <v>0</v>
      </c>
      <c r="AM28" s="19">
        <f t="shared" si="22"/>
        <v>0</v>
      </c>
      <c r="AN28" s="19">
        <f t="shared" si="23"/>
        <v>0</v>
      </c>
      <c r="AO28" s="38">
        <f>'Setoran 3'!O28</f>
        <v>0</v>
      </c>
      <c r="AP28" s="19">
        <f t="shared" si="24"/>
        <v>0</v>
      </c>
      <c r="AQ28" s="19">
        <f t="shared" si="25"/>
        <v>0</v>
      </c>
      <c r="AR28" s="38">
        <f>'Setoran 3'!P28</f>
        <v>0</v>
      </c>
      <c r="AS28" s="19">
        <f t="shared" si="26"/>
        <v>0</v>
      </c>
      <c r="AT28" s="19">
        <f t="shared" si="27"/>
        <v>0</v>
      </c>
      <c r="AU28" s="38">
        <f>'Setoran 3'!Q28</f>
        <v>0</v>
      </c>
      <c r="AV28" s="19">
        <f t="shared" si="28"/>
        <v>0</v>
      </c>
      <c r="AW28" s="19">
        <f t="shared" si="29"/>
        <v>0</v>
      </c>
      <c r="AX28" s="39">
        <f t="shared" si="30"/>
        <v>0</v>
      </c>
      <c r="AY28" s="38">
        <f t="shared" si="31"/>
        <v>0</v>
      </c>
      <c r="AZ28" s="21">
        <f t="shared" si="32"/>
        <v>0</v>
      </c>
      <c r="BA28" s="22">
        <f t="shared" si="33"/>
        <v>0</v>
      </c>
    </row>
    <row r="29" spans="1:53" ht="14.5" customHeight="1" x14ac:dyDescent="0.2">
      <c r="A29" s="54">
        <v>2</v>
      </c>
      <c r="B29" s="53" t="s">
        <v>18</v>
      </c>
      <c r="C29" s="57">
        <v>2300</v>
      </c>
      <c r="D29" s="57">
        <v>2500</v>
      </c>
      <c r="E29" s="39">
        <f>'Setoran 3'!C29</f>
        <v>0</v>
      </c>
      <c r="F29" s="19">
        <f t="shared" si="0"/>
        <v>0</v>
      </c>
      <c r="G29" s="19">
        <f t="shared" si="1"/>
        <v>0</v>
      </c>
      <c r="H29" s="39">
        <f>'Setoran 3'!D29</f>
        <v>0</v>
      </c>
      <c r="I29" s="19">
        <f t="shared" si="2"/>
        <v>0</v>
      </c>
      <c r="J29" s="19">
        <f t="shared" si="3"/>
        <v>0</v>
      </c>
      <c r="K29" s="39">
        <f>'Setoran 3'!E29</f>
        <v>0</v>
      </c>
      <c r="L29" s="19">
        <f t="shared" si="4"/>
        <v>0</v>
      </c>
      <c r="M29" s="19">
        <f t="shared" si="5"/>
        <v>0</v>
      </c>
      <c r="N29" s="39">
        <f>'Setoran 3'!F29</f>
        <v>0</v>
      </c>
      <c r="O29" s="19">
        <f t="shared" si="6"/>
        <v>0</v>
      </c>
      <c r="P29" s="19">
        <f t="shared" si="7"/>
        <v>0</v>
      </c>
      <c r="Q29" s="39">
        <f>'Setoran 3'!G29</f>
        <v>0</v>
      </c>
      <c r="R29" s="19">
        <f t="shared" si="8"/>
        <v>0</v>
      </c>
      <c r="S29" s="19">
        <f t="shared" si="9"/>
        <v>0</v>
      </c>
      <c r="T29" s="39">
        <f>'Setoran 3'!H29</f>
        <v>0</v>
      </c>
      <c r="U29" s="19">
        <f t="shared" si="10"/>
        <v>0</v>
      </c>
      <c r="V29" s="19">
        <f t="shared" si="11"/>
        <v>0</v>
      </c>
      <c r="W29" s="39">
        <f>'Setoran 3'!I29</f>
        <v>0</v>
      </c>
      <c r="X29" s="19">
        <f t="shared" si="12"/>
        <v>0</v>
      </c>
      <c r="Y29" s="19">
        <f t="shared" si="13"/>
        <v>0</v>
      </c>
      <c r="Z29" s="39">
        <f>'Setoran 3'!J29</f>
        <v>0</v>
      </c>
      <c r="AA29" s="19">
        <f t="shared" si="14"/>
        <v>0</v>
      </c>
      <c r="AB29" s="19">
        <f t="shared" si="15"/>
        <v>0</v>
      </c>
      <c r="AC29" s="39">
        <f>'Setoran 3'!K29</f>
        <v>0</v>
      </c>
      <c r="AD29" s="19">
        <f t="shared" si="16"/>
        <v>0</v>
      </c>
      <c r="AE29" s="19">
        <f t="shared" si="17"/>
        <v>0</v>
      </c>
      <c r="AF29" s="38">
        <f>'Setoran 3'!L29</f>
        <v>0</v>
      </c>
      <c r="AG29" s="19">
        <f t="shared" si="18"/>
        <v>0</v>
      </c>
      <c r="AH29" s="19">
        <f t="shared" si="19"/>
        <v>0</v>
      </c>
      <c r="AI29" s="38">
        <f>'Setoran 3'!M29</f>
        <v>0</v>
      </c>
      <c r="AJ29" s="19">
        <f t="shared" si="20"/>
        <v>0</v>
      </c>
      <c r="AK29" s="19">
        <f t="shared" si="21"/>
        <v>0</v>
      </c>
      <c r="AL29" s="38">
        <f>'Setoran 3'!N29</f>
        <v>0</v>
      </c>
      <c r="AM29" s="19">
        <f t="shared" si="22"/>
        <v>0</v>
      </c>
      <c r="AN29" s="19">
        <f t="shared" si="23"/>
        <v>0</v>
      </c>
      <c r="AO29" s="38">
        <f>'Setoran 3'!O29</f>
        <v>0</v>
      </c>
      <c r="AP29" s="19">
        <f t="shared" si="24"/>
        <v>0</v>
      </c>
      <c r="AQ29" s="19">
        <f t="shared" si="25"/>
        <v>0</v>
      </c>
      <c r="AR29" s="38">
        <f>'Setoran 3'!P29</f>
        <v>0</v>
      </c>
      <c r="AS29" s="19">
        <f t="shared" si="26"/>
        <v>0</v>
      </c>
      <c r="AT29" s="19">
        <f t="shared" si="27"/>
        <v>0</v>
      </c>
      <c r="AU29" s="38">
        <f>'Setoran 3'!Q29</f>
        <v>0</v>
      </c>
      <c r="AV29" s="19">
        <f t="shared" si="28"/>
        <v>0</v>
      </c>
      <c r="AW29" s="19">
        <f t="shared" si="29"/>
        <v>0</v>
      </c>
      <c r="AX29" s="39">
        <f t="shared" si="30"/>
        <v>0</v>
      </c>
      <c r="AY29" s="38">
        <f t="shared" si="31"/>
        <v>0</v>
      </c>
      <c r="AZ29" s="21">
        <f t="shared" si="32"/>
        <v>0</v>
      </c>
      <c r="BA29" s="22">
        <f t="shared" si="33"/>
        <v>0</v>
      </c>
    </row>
    <row r="30" spans="1:53" ht="14.5" customHeight="1" x14ac:dyDescent="0.2">
      <c r="A30" s="54">
        <v>3</v>
      </c>
      <c r="B30" s="53" t="s">
        <v>19</v>
      </c>
      <c r="C30" s="57">
        <v>1800</v>
      </c>
      <c r="D30" s="57">
        <v>2000</v>
      </c>
      <c r="E30" s="39">
        <f>'Setoran 3'!C30</f>
        <v>0</v>
      </c>
      <c r="F30" s="19">
        <f t="shared" si="0"/>
        <v>0</v>
      </c>
      <c r="G30" s="19">
        <f t="shared" si="1"/>
        <v>0</v>
      </c>
      <c r="H30" s="39">
        <f>'Setoran 3'!D30</f>
        <v>0</v>
      </c>
      <c r="I30" s="19">
        <f t="shared" si="2"/>
        <v>0</v>
      </c>
      <c r="J30" s="19">
        <f t="shared" si="3"/>
        <v>0</v>
      </c>
      <c r="K30" s="39">
        <f>'Setoran 3'!E30</f>
        <v>0</v>
      </c>
      <c r="L30" s="19">
        <f t="shared" si="4"/>
        <v>0</v>
      </c>
      <c r="M30" s="19">
        <f t="shared" si="5"/>
        <v>0</v>
      </c>
      <c r="N30" s="39">
        <f>'Setoran 3'!F30</f>
        <v>0</v>
      </c>
      <c r="O30" s="19">
        <f t="shared" si="6"/>
        <v>0</v>
      </c>
      <c r="P30" s="19">
        <f t="shared" si="7"/>
        <v>0</v>
      </c>
      <c r="Q30" s="39">
        <f>'Setoran 3'!G30</f>
        <v>0</v>
      </c>
      <c r="R30" s="19">
        <f t="shared" si="8"/>
        <v>0</v>
      </c>
      <c r="S30" s="19">
        <f t="shared" si="9"/>
        <v>0</v>
      </c>
      <c r="T30" s="39">
        <f>'Setoran 3'!H30</f>
        <v>0</v>
      </c>
      <c r="U30" s="19">
        <f t="shared" si="10"/>
        <v>0</v>
      </c>
      <c r="V30" s="19">
        <f t="shared" si="11"/>
        <v>0</v>
      </c>
      <c r="W30" s="39">
        <f>'Setoran 3'!I30</f>
        <v>0</v>
      </c>
      <c r="X30" s="19">
        <f t="shared" si="12"/>
        <v>0</v>
      </c>
      <c r="Y30" s="19">
        <f t="shared" si="13"/>
        <v>0</v>
      </c>
      <c r="Z30" s="39">
        <f>'Setoran 3'!J30</f>
        <v>0</v>
      </c>
      <c r="AA30" s="19">
        <f t="shared" si="14"/>
        <v>0</v>
      </c>
      <c r="AB30" s="19">
        <f t="shared" si="15"/>
        <v>0</v>
      </c>
      <c r="AC30" s="39">
        <f>'Setoran 3'!K30</f>
        <v>0</v>
      </c>
      <c r="AD30" s="19">
        <f t="shared" si="16"/>
        <v>0</v>
      </c>
      <c r="AE30" s="19">
        <f t="shared" si="17"/>
        <v>0</v>
      </c>
      <c r="AF30" s="38">
        <f>'Setoran 3'!L30</f>
        <v>0</v>
      </c>
      <c r="AG30" s="19">
        <f t="shared" si="18"/>
        <v>0</v>
      </c>
      <c r="AH30" s="19">
        <f t="shared" si="19"/>
        <v>0</v>
      </c>
      <c r="AI30" s="38">
        <f>'Setoran 3'!M30</f>
        <v>0</v>
      </c>
      <c r="AJ30" s="19">
        <f t="shared" si="20"/>
        <v>0</v>
      </c>
      <c r="AK30" s="19">
        <f t="shared" si="21"/>
        <v>0</v>
      </c>
      <c r="AL30" s="38">
        <f>'Setoran 3'!N30</f>
        <v>0</v>
      </c>
      <c r="AM30" s="19">
        <f t="shared" si="22"/>
        <v>0</v>
      </c>
      <c r="AN30" s="19">
        <f t="shared" si="23"/>
        <v>0</v>
      </c>
      <c r="AO30" s="38">
        <f>'Setoran 3'!O30</f>
        <v>0</v>
      </c>
      <c r="AP30" s="19">
        <f t="shared" si="24"/>
        <v>0</v>
      </c>
      <c r="AQ30" s="19">
        <f t="shared" si="25"/>
        <v>0</v>
      </c>
      <c r="AR30" s="38">
        <f>'Setoran 3'!P30</f>
        <v>0</v>
      </c>
      <c r="AS30" s="19">
        <f t="shared" si="26"/>
        <v>0</v>
      </c>
      <c r="AT30" s="19">
        <f t="shared" si="27"/>
        <v>0</v>
      </c>
      <c r="AU30" s="38">
        <f>'Setoran 3'!Q30</f>
        <v>0</v>
      </c>
      <c r="AV30" s="19">
        <f t="shared" si="28"/>
        <v>0</v>
      </c>
      <c r="AW30" s="19">
        <f t="shared" si="29"/>
        <v>0</v>
      </c>
      <c r="AX30" s="39">
        <f t="shared" si="30"/>
        <v>0</v>
      </c>
      <c r="AY30" s="38">
        <f t="shared" si="31"/>
        <v>0</v>
      </c>
      <c r="AZ30" s="21">
        <f t="shared" si="32"/>
        <v>0</v>
      </c>
      <c r="BA30" s="22">
        <f t="shared" si="33"/>
        <v>0</v>
      </c>
    </row>
    <row r="31" spans="1:53" ht="14.5" customHeight="1" x14ac:dyDescent="0.2">
      <c r="A31" s="78" t="s">
        <v>85</v>
      </c>
      <c r="B31" s="78"/>
      <c r="C31" s="59"/>
      <c r="D31" s="59"/>
      <c r="E31" s="39"/>
      <c r="F31" s="19"/>
      <c r="G31" s="19"/>
      <c r="H31" s="39"/>
      <c r="I31" s="19"/>
      <c r="J31" s="19"/>
      <c r="K31" s="39"/>
      <c r="L31" s="19"/>
      <c r="M31" s="19"/>
      <c r="N31" s="39"/>
      <c r="O31" s="19"/>
      <c r="P31" s="19"/>
      <c r="Q31" s="39"/>
      <c r="R31" s="19"/>
      <c r="S31" s="19"/>
      <c r="T31" s="39"/>
      <c r="U31" s="19"/>
      <c r="V31" s="19"/>
      <c r="W31" s="39"/>
      <c r="X31" s="19"/>
      <c r="Y31" s="19"/>
      <c r="Z31" s="39"/>
      <c r="AA31" s="19"/>
      <c r="AB31" s="19"/>
      <c r="AC31" s="39"/>
      <c r="AD31" s="19"/>
      <c r="AE31" s="19"/>
      <c r="AF31" s="38"/>
      <c r="AG31" s="19"/>
      <c r="AH31" s="19"/>
      <c r="AI31" s="38"/>
      <c r="AJ31" s="19"/>
      <c r="AK31" s="19"/>
      <c r="AL31" s="38"/>
      <c r="AM31" s="19"/>
      <c r="AN31" s="19"/>
      <c r="AO31" s="38"/>
      <c r="AP31" s="19"/>
      <c r="AQ31" s="19"/>
      <c r="AR31" s="38"/>
      <c r="AS31" s="19"/>
      <c r="AT31" s="19"/>
      <c r="AU31" s="38"/>
      <c r="AV31" s="19"/>
      <c r="AW31" s="19"/>
      <c r="AX31" s="39"/>
      <c r="AY31" s="38"/>
      <c r="AZ31" s="21"/>
      <c r="BA31" s="22"/>
    </row>
    <row r="32" spans="1:53" ht="14.5" customHeight="1" x14ac:dyDescent="0.2">
      <c r="A32" s="54">
        <v>1</v>
      </c>
      <c r="B32" s="53" t="s">
        <v>23</v>
      </c>
      <c r="C32" s="58">
        <v>500</v>
      </c>
      <c r="D32" s="58">
        <v>600</v>
      </c>
      <c r="E32" s="39">
        <f>'Setoran 3'!C32</f>
        <v>0</v>
      </c>
      <c r="F32" s="19">
        <f t="shared" si="0"/>
        <v>0</v>
      </c>
      <c r="G32" s="19">
        <f t="shared" si="1"/>
        <v>0</v>
      </c>
      <c r="H32" s="39">
        <f>'Setoran 3'!D32</f>
        <v>0</v>
      </c>
      <c r="I32" s="19">
        <f t="shared" si="2"/>
        <v>0</v>
      </c>
      <c r="J32" s="19">
        <f t="shared" si="3"/>
        <v>0</v>
      </c>
      <c r="K32" s="39">
        <f>'Setoran 3'!E32</f>
        <v>0</v>
      </c>
      <c r="L32" s="19">
        <f t="shared" si="4"/>
        <v>0</v>
      </c>
      <c r="M32" s="19">
        <f t="shared" si="5"/>
        <v>0</v>
      </c>
      <c r="N32" s="39">
        <f>'Setoran 3'!F32</f>
        <v>0</v>
      </c>
      <c r="O32" s="19">
        <f t="shared" si="6"/>
        <v>0</v>
      </c>
      <c r="P32" s="19">
        <f t="shared" si="7"/>
        <v>0</v>
      </c>
      <c r="Q32" s="39">
        <f>'Setoran 3'!G32</f>
        <v>0</v>
      </c>
      <c r="R32" s="19">
        <f t="shared" si="8"/>
        <v>0</v>
      </c>
      <c r="S32" s="19">
        <f t="shared" si="9"/>
        <v>0</v>
      </c>
      <c r="T32" s="39">
        <f>'Setoran 3'!H32</f>
        <v>0</v>
      </c>
      <c r="U32" s="19">
        <f t="shared" si="10"/>
        <v>0</v>
      </c>
      <c r="V32" s="19">
        <f t="shared" si="11"/>
        <v>0</v>
      </c>
      <c r="W32" s="39">
        <f>'Setoran 3'!I32</f>
        <v>0</v>
      </c>
      <c r="X32" s="19">
        <f t="shared" si="12"/>
        <v>0</v>
      </c>
      <c r="Y32" s="19">
        <f t="shared" si="13"/>
        <v>0</v>
      </c>
      <c r="Z32" s="39">
        <f>'Setoran 3'!J32</f>
        <v>0</v>
      </c>
      <c r="AA32" s="19">
        <f t="shared" si="14"/>
        <v>0</v>
      </c>
      <c r="AB32" s="19">
        <f t="shared" si="15"/>
        <v>0</v>
      </c>
      <c r="AC32" s="39">
        <f>'Setoran 3'!K32</f>
        <v>0</v>
      </c>
      <c r="AD32" s="19">
        <f t="shared" si="16"/>
        <v>0</v>
      </c>
      <c r="AE32" s="19">
        <f t="shared" si="17"/>
        <v>0</v>
      </c>
      <c r="AF32" s="38">
        <f>'Setoran 3'!L32</f>
        <v>0</v>
      </c>
      <c r="AG32" s="19">
        <f t="shared" si="18"/>
        <v>0</v>
      </c>
      <c r="AH32" s="19">
        <f t="shared" si="19"/>
        <v>0</v>
      </c>
      <c r="AI32" s="38">
        <f>'Setoran 3'!M32</f>
        <v>0</v>
      </c>
      <c r="AJ32" s="19">
        <f t="shared" si="20"/>
        <v>0</v>
      </c>
      <c r="AK32" s="19">
        <f t="shared" si="21"/>
        <v>0</v>
      </c>
      <c r="AL32" s="38">
        <f>'Setoran 3'!N32</f>
        <v>0</v>
      </c>
      <c r="AM32" s="19">
        <f t="shared" si="22"/>
        <v>0</v>
      </c>
      <c r="AN32" s="19">
        <f t="shared" si="23"/>
        <v>0</v>
      </c>
      <c r="AO32" s="38">
        <f>'Setoran 3'!O32</f>
        <v>0</v>
      </c>
      <c r="AP32" s="19">
        <f t="shared" si="24"/>
        <v>0</v>
      </c>
      <c r="AQ32" s="19">
        <f t="shared" si="25"/>
        <v>0</v>
      </c>
      <c r="AR32" s="38">
        <f>'Setoran 3'!P32</f>
        <v>0</v>
      </c>
      <c r="AS32" s="19">
        <f t="shared" si="26"/>
        <v>0</v>
      </c>
      <c r="AT32" s="19">
        <f t="shared" si="27"/>
        <v>0</v>
      </c>
      <c r="AU32" s="38">
        <f>'Setoran 3'!Q32</f>
        <v>0</v>
      </c>
      <c r="AV32" s="19">
        <f t="shared" si="28"/>
        <v>0</v>
      </c>
      <c r="AW32" s="19">
        <f t="shared" si="29"/>
        <v>0</v>
      </c>
      <c r="AX32" s="39">
        <f t="shared" si="30"/>
        <v>0</v>
      </c>
      <c r="AY32" s="38">
        <f t="shared" si="31"/>
        <v>0</v>
      </c>
      <c r="AZ32" s="21">
        <f t="shared" si="32"/>
        <v>0</v>
      </c>
      <c r="BA32" s="22">
        <f t="shared" si="33"/>
        <v>0</v>
      </c>
    </row>
    <row r="33" spans="1:53" ht="14.5" customHeight="1" x14ac:dyDescent="0.2">
      <c r="A33" s="54">
        <v>2</v>
      </c>
      <c r="B33" s="53" t="s">
        <v>24</v>
      </c>
      <c r="C33" s="58">
        <v>250</v>
      </c>
      <c r="D33" s="58">
        <v>300</v>
      </c>
      <c r="E33" s="39">
        <f>'Setoran 3'!C33</f>
        <v>0</v>
      </c>
      <c r="F33" s="19">
        <f t="shared" si="0"/>
        <v>0</v>
      </c>
      <c r="G33" s="19">
        <f t="shared" si="1"/>
        <v>0</v>
      </c>
      <c r="H33" s="39">
        <f>'Setoran 3'!D33</f>
        <v>0</v>
      </c>
      <c r="I33" s="19">
        <f t="shared" si="2"/>
        <v>0</v>
      </c>
      <c r="J33" s="19">
        <f t="shared" si="3"/>
        <v>0</v>
      </c>
      <c r="K33" s="39">
        <f>'Setoran 3'!E33</f>
        <v>0</v>
      </c>
      <c r="L33" s="19">
        <f t="shared" si="4"/>
        <v>0</v>
      </c>
      <c r="M33" s="19">
        <f t="shared" si="5"/>
        <v>0</v>
      </c>
      <c r="N33" s="39">
        <f>'Setoran 3'!F33</f>
        <v>0</v>
      </c>
      <c r="O33" s="19">
        <f t="shared" si="6"/>
        <v>0</v>
      </c>
      <c r="P33" s="19">
        <f t="shared" si="7"/>
        <v>0</v>
      </c>
      <c r="Q33" s="39">
        <f>'Setoran 3'!G33</f>
        <v>0</v>
      </c>
      <c r="R33" s="19">
        <f t="shared" si="8"/>
        <v>0</v>
      </c>
      <c r="S33" s="19">
        <f t="shared" si="9"/>
        <v>0</v>
      </c>
      <c r="T33" s="39">
        <f>'Setoran 3'!H33</f>
        <v>0</v>
      </c>
      <c r="U33" s="19">
        <f t="shared" si="10"/>
        <v>0</v>
      </c>
      <c r="V33" s="19">
        <f t="shared" si="11"/>
        <v>0</v>
      </c>
      <c r="W33" s="39">
        <f>'Setoran 3'!I33</f>
        <v>0</v>
      </c>
      <c r="X33" s="19">
        <f t="shared" si="12"/>
        <v>0</v>
      </c>
      <c r="Y33" s="19">
        <f t="shared" si="13"/>
        <v>0</v>
      </c>
      <c r="Z33" s="39">
        <f>'Setoran 3'!J33</f>
        <v>0</v>
      </c>
      <c r="AA33" s="19">
        <f t="shared" si="14"/>
        <v>0</v>
      </c>
      <c r="AB33" s="19">
        <f t="shared" si="15"/>
        <v>0</v>
      </c>
      <c r="AC33" s="39">
        <f>'Setoran 3'!K33</f>
        <v>0</v>
      </c>
      <c r="AD33" s="19">
        <f t="shared" si="16"/>
        <v>0</v>
      </c>
      <c r="AE33" s="19">
        <f t="shared" si="17"/>
        <v>0</v>
      </c>
      <c r="AF33" s="38">
        <f>'Setoran 3'!L33</f>
        <v>0</v>
      </c>
      <c r="AG33" s="19">
        <f t="shared" si="18"/>
        <v>0</v>
      </c>
      <c r="AH33" s="19">
        <f t="shared" si="19"/>
        <v>0</v>
      </c>
      <c r="AI33" s="38">
        <f>'Setoran 3'!M33</f>
        <v>0</v>
      </c>
      <c r="AJ33" s="19">
        <f t="shared" si="20"/>
        <v>0</v>
      </c>
      <c r="AK33" s="19">
        <f t="shared" si="21"/>
        <v>0</v>
      </c>
      <c r="AL33" s="38">
        <f>'Setoran 3'!N33</f>
        <v>0</v>
      </c>
      <c r="AM33" s="19">
        <f t="shared" si="22"/>
        <v>0</v>
      </c>
      <c r="AN33" s="19">
        <f t="shared" si="23"/>
        <v>0</v>
      </c>
      <c r="AO33" s="38">
        <f>'Setoran 3'!O33</f>
        <v>0</v>
      </c>
      <c r="AP33" s="19">
        <f t="shared" si="24"/>
        <v>0</v>
      </c>
      <c r="AQ33" s="19">
        <f t="shared" si="25"/>
        <v>0</v>
      </c>
      <c r="AR33" s="38">
        <f>'Setoran 3'!P33</f>
        <v>0</v>
      </c>
      <c r="AS33" s="19">
        <f t="shared" si="26"/>
        <v>0</v>
      </c>
      <c r="AT33" s="19">
        <f t="shared" si="27"/>
        <v>0</v>
      </c>
      <c r="AU33" s="38">
        <f>'Setoran 3'!Q33</f>
        <v>0</v>
      </c>
      <c r="AV33" s="19">
        <f t="shared" si="28"/>
        <v>0</v>
      </c>
      <c r="AW33" s="19">
        <f t="shared" si="29"/>
        <v>0</v>
      </c>
      <c r="AX33" s="39">
        <f t="shared" si="30"/>
        <v>0</v>
      </c>
      <c r="AY33" s="38">
        <f t="shared" si="31"/>
        <v>0</v>
      </c>
      <c r="AZ33" s="21">
        <f t="shared" si="32"/>
        <v>0</v>
      </c>
      <c r="BA33" s="22">
        <f t="shared" si="33"/>
        <v>0</v>
      </c>
    </row>
    <row r="34" spans="1:53" ht="14.5" customHeight="1" x14ac:dyDescent="0.2">
      <c r="A34" s="54">
        <v>3</v>
      </c>
      <c r="B34" s="53" t="s">
        <v>25</v>
      </c>
      <c r="C34" s="58">
        <v>150</v>
      </c>
      <c r="D34" s="58">
        <v>200</v>
      </c>
      <c r="E34" s="39">
        <f>'Setoran 3'!C34</f>
        <v>0</v>
      </c>
      <c r="F34" s="19">
        <f t="shared" si="0"/>
        <v>0</v>
      </c>
      <c r="G34" s="19">
        <f t="shared" si="1"/>
        <v>0</v>
      </c>
      <c r="H34" s="39">
        <f>'Setoran 3'!D34</f>
        <v>0</v>
      </c>
      <c r="I34" s="19">
        <f t="shared" si="2"/>
        <v>0</v>
      </c>
      <c r="J34" s="19">
        <f t="shared" si="3"/>
        <v>0</v>
      </c>
      <c r="K34" s="39">
        <f>'Setoran 3'!E34</f>
        <v>0</v>
      </c>
      <c r="L34" s="19">
        <f t="shared" si="4"/>
        <v>0</v>
      </c>
      <c r="M34" s="19">
        <f t="shared" si="5"/>
        <v>0</v>
      </c>
      <c r="N34" s="39">
        <f>'Setoran 3'!F34</f>
        <v>0</v>
      </c>
      <c r="O34" s="19">
        <f t="shared" si="6"/>
        <v>0</v>
      </c>
      <c r="P34" s="19">
        <f t="shared" si="7"/>
        <v>0</v>
      </c>
      <c r="Q34" s="39">
        <f>'Setoran 3'!G34</f>
        <v>0</v>
      </c>
      <c r="R34" s="19">
        <f t="shared" si="8"/>
        <v>0</v>
      </c>
      <c r="S34" s="19">
        <f t="shared" si="9"/>
        <v>0</v>
      </c>
      <c r="T34" s="39">
        <f>'Setoran 3'!H34</f>
        <v>0</v>
      </c>
      <c r="U34" s="19">
        <f t="shared" si="10"/>
        <v>0</v>
      </c>
      <c r="V34" s="19">
        <f t="shared" si="11"/>
        <v>0</v>
      </c>
      <c r="W34" s="39">
        <f>'Setoran 3'!I34</f>
        <v>0</v>
      </c>
      <c r="X34" s="19">
        <f t="shared" si="12"/>
        <v>0</v>
      </c>
      <c r="Y34" s="19">
        <f t="shared" si="13"/>
        <v>0</v>
      </c>
      <c r="Z34" s="39">
        <f>'Setoran 3'!J34</f>
        <v>0</v>
      </c>
      <c r="AA34" s="19">
        <f t="shared" si="14"/>
        <v>0</v>
      </c>
      <c r="AB34" s="19">
        <f t="shared" si="15"/>
        <v>0</v>
      </c>
      <c r="AC34" s="39">
        <f>'Setoran 3'!K34</f>
        <v>0</v>
      </c>
      <c r="AD34" s="19">
        <f t="shared" si="16"/>
        <v>0</v>
      </c>
      <c r="AE34" s="19">
        <f t="shared" si="17"/>
        <v>0</v>
      </c>
      <c r="AF34" s="38">
        <f>'Setoran 3'!L34</f>
        <v>0</v>
      </c>
      <c r="AG34" s="19">
        <f t="shared" si="18"/>
        <v>0</v>
      </c>
      <c r="AH34" s="19">
        <f t="shared" si="19"/>
        <v>0</v>
      </c>
      <c r="AI34" s="38">
        <f>'Setoran 3'!M34</f>
        <v>0</v>
      </c>
      <c r="AJ34" s="19">
        <f t="shared" si="20"/>
        <v>0</v>
      </c>
      <c r="AK34" s="19">
        <f t="shared" si="21"/>
        <v>0</v>
      </c>
      <c r="AL34" s="38">
        <f>'Setoran 3'!N34</f>
        <v>0</v>
      </c>
      <c r="AM34" s="19">
        <f t="shared" si="22"/>
        <v>0</v>
      </c>
      <c r="AN34" s="19">
        <f t="shared" si="23"/>
        <v>0</v>
      </c>
      <c r="AO34" s="38">
        <f>'Setoran 3'!O34</f>
        <v>0</v>
      </c>
      <c r="AP34" s="19">
        <f t="shared" si="24"/>
        <v>0</v>
      </c>
      <c r="AQ34" s="19">
        <f t="shared" si="25"/>
        <v>0</v>
      </c>
      <c r="AR34" s="38">
        <f>'Setoran 3'!P34</f>
        <v>0</v>
      </c>
      <c r="AS34" s="19">
        <f t="shared" si="26"/>
        <v>0</v>
      </c>
      <c r="AT34" s="19">
        <f t="shared" si="27"/>
        <v>0</v>
      </c>
      <c r="AU34" s="38">
        <f>'Setoran 3'!Q34</f>
        <v>0</v>
      </c>
      <c r="AV34" s="19">
        <f t="shared" si="28"/>
        <v>0</v>
      </c>
      <c r="AW34" s="19">
        <f t="shared" si="29"/>
        <v>0</v>
      </c>
      <c r="AX34" s="39">
        <f t="shared" si="30"/>
        <v>0</v>
      </c>
      <c r="AY34" s="38">
        <f t="shared" si="31"/>
        <v>0</v>
      </c>
      <c r="AZ34" s="21">
        <f t="shared" si="32"/>
        <v>0</v>
      </c>
      <c r="BA34" s="22">
        <f t="shared" si="33"/>
        <v>0</v>
      </c>
    </row>
    <row r="35" spans="1:53" ht="14.5" customHeight="1" x14ac:dyDescent="0.2">
      <c r="A35" s="54">
        <v>4</v>
      </c>
      <c r="B35" s="53" t="s">
        <v>87</v>
      </c>
      <c r="C35" s="58">
        <v>150</v>
      </c>
      <c r="D35" s="58">
        <v>200</v>
      </c>
      <c r="E35" s="39">
        <f>'Setoran 3'!C35</f>
        <v>0</v>
      </c>
      <c r="F35" s="19">
        <f t="shared" si="0"/>
        <v>0</v>
      </c>
      <c r="G35" s="19">
        <f t="shared" si="1"/>
        <v>0</v>
      </c>
      <c r="H35" s="39">
        <f>'Setoran 3'!D35</f>
        <v>0</v>
      </c>
      <c r="I35" s="19">
        <f t="shared" si="2"/>
        <v>0</v>
      </c>
      <c r="J35" s="19">
        <f t="shared" si="3"/>
        <v>0</v>
      </c>
      <c r="K35" s="39">
        <f>'Setoran 3'!E35</f>
        <v>0</v>
      </c>
      <c r="L35" s="19">
        <f t="shared" si="4"/>
        <v>0</v>
      </c>
      <c r="M35" s="19">
        <f t="shared" si="5"/>
        <v>0</v>
      </c>
      <c r="N35" s="39">
        <f>'Setoran 3'!F35</f>
        <v>0</v>
      </c>
      <c r="O35" s="19">
        <f t="shared" si="6"/>
        <v>0</v>
      </c>
      <c r="P35" s="19">
        <f t="shared" si="7"/>
        <v>0</v>
      </c>
      <c r="Q35" s="39">
        <f>'Setoran 3'!G35</f>
        <v>0</v>
      </c>
      <c r="R35" s="19">
        <f t="shared" si="8"/>
        <v>0</v>
      </c>
      <c r="S35" s="19">
        <f t="shared" si="9"/>
        <v>0</v>
      </c>
      <c r="T35" s="39">
        <f>'Setoran 3'!H35</f>
        <v>0</v>
      </c>
      <c r="U35" s="19">
        <f t="shared" si="10"/>
        <v>0</v>
      </c>
      <c r="V35" s="19">
        <f t="shared" si="11"/>
        <v>0</v>
      </c>
      <c r="W35" s="39">
        <f>'Setoran 3'!I35</f>
        <v>0</v>
      </c>
      <c r="X35" s="19">
        <f t="shared" si="12"/>
        <v>0</v>
      </c>
      <c r="Y35" s="19">
        <f t="shared" si="13"/>
        <v>0</v>
      </c>
      <c r="Z35" s="39">
        <f>'Setoran 3'!J35</f>
        <v>0</v>
      </c>
      <c r="AA35" s="19">
        <f t="shared" si="14"/>
        <v>0</v>
      </c>
      <c r="AB35" s="19">
        <f t="shared" si="15"/>
        <v>0</v>
      </c>
      <c r="AC35" s="39">
        <f>'Setoran 3'!K35</f>
        <v>0</v>
      </c>
      <c r="AD35" s="19">
        <f t="shared" si="16"/>
        <v>0</v>
      </c>
      <c r="AE35" s="19">
        <f t="shared" si="17"/>
        <v>0</v>
      </c>
      <c r="AF35" s="38">
        <f>'Setoran 3'!L35</f>
        <v>0</v>
      </c>
      <c r="AG35" s="19">
        <f t="shared" si="18"/>
        <v>0</v>
      </c>
      <c r="AH35" s="19">
        <f t="shared" si="19"/>
        <v>0</v>
      </c>
      <c r="AI35" s="38">
        <f>'Setoran 3'!M35</f>
        <v>0</v>
      </c>
      <c r="AJ35" s="19">
        <f t="shared" si="20"/>
        <v>0</v>
      </c>
      <c r="AK35" s="19">
        <f t="shared" si="21"/>
        <v>0</v>
      </c>
      <c r="AL35" s="38">
        <f>'Setoran 3'!N35</f>
        <v>0</v>
      </c>
      <c r="AM35" s="19">
        <f t="shared" si="22"/>
        <v>0</v>
      </c>
      <c r="AN35" s="19">
        <f t="shared" si="23"/>
        <v>0</v>
      </c>
      <c r="AO35" s="38">
        <f>'Setoran 3'!O35</f>
        <v>0</v>
      </c>
      <c r="AP35" s="19">
        <f t="shared" si="24"/>
        <v>0</v>
      </c>
      <c r="AQ35" s="19">
        <f t="shared" si="25"/>
        <v>0</v>
      </c>
      <c r="AR35" s="38">
        <f>'Setoran 3'!P35</f>
        <v>0</v>
      </c>
      <c r="AS35" s="19">
        <f t="shared" si="26"/>
        <v>0</v>
      </c>
      <c r="AT35" s="19">
        <f t="shared" si="27"/>
        <v>0</v>
      </c>
      <c r="AU35" s="38">
        <f>'Setoran 3'!Q35</f>
        <v>0</v>
      </c>
      <c r="AV35" s="19">
        <f t="shared" si="28"/>
        <v>0</v>
      </c>
      <c r="AW35" s="19">
        <f t="shared" si="29"/>
        <v>0</v>
      </c>
      <c r="AX35" s="39">
        <f t="shared" si="30"/>
        <v>0</v>
      </c>
      <c r="AY35" s="38">
        <f t="shared" si="31"/>
        <v>0</v>
      </c>
      <c r="AZ35" s="21">
        <f t="shared" si="32"/>
        <v>0</v>
      </c>
      <c r="BA35" s="22">
        <f t="shared" si="33"/>
        <v>0</v>
      </c>
    </row>
    <row r="36" spans="1:53" ht="14.5" customHeight="1" x14ac:dyDescent="0.2">
      <c r="A36" s="54">
        <v>5</v>
      </c>
      <c r="B36" s="53" t="s">
        <v>88</v>
      </c>
      <c r="C36" s="58">
        <v>250</v>
      </c>
      <c r="D36" s="58">
        <v>300</v>
      </c>
      <c r="E36" s="39">
        <f>'Setoran 3'!C36</f>
        <v>0</v>
      </c>
      <c r="F36" s="19">
        <f t="shared" si="0"/>
        <v>0</v>
      </c>
      <c r="G36" s="19">
        <f t="shared" si="1"/>
        <v>0</v>
      </c>
      <c r="H36" s="39">
        <f>'Setoran 3'!D36</f>
        <v>0</v>
      </c>
      <c r="I36" s="19">
        <f t="shared" si="2"/>
        <v>0</v>
      </c>
      <c r="J36" s="19">
        <f t="shared" si="3"/>
        <v>0</v>
      </c>
      <c r="K36" s="39">
        <f>'Setoran 3'!E36</f>
        <v>0</v>
      </c>
      <c r="L36" s="19">
        <f t="shared" si="4"/>
        <v>0</v>
      </c>
      <c r="M36" s="19">
        <f t="shared" si="5"/>
        <v>0</v>
      </c>
      <c r="N36" s="39">
        <f>'Setoran 3'!F36</f>
        <v>0</v>
      </c>
      <c r="O36" s="19">
        <f t="shared" si="6"/>
        <v>0</v>
      </c>
      <c r="P36" s="19">
        <f t="shared" si="7"/>
        <v>0</v>
      </c>
      <c r="Q36" s="39">
        <f>'Setoran 3'!G36</f>
        <v>0</v>
      </c>
      <c r="R36" s="19">
        <f t="shared" si="8"/>
        <v>0</v>
      </c>
      <c r="S36" s="19">
        <f t="shared" si="9"/>
        <v>0</v>
      </c>
      <c r="T36" s="39">
        <f>'Setoran 3'!H36</f>
        <v>0</v>
      </c>
      <c r="U36" s="19">
        <f t="shared" si="10"/>
        <v>0</v>
      </c>
      <c r="V36" s="19">
        <f t="shared" si="11"/>
        <v>0</v>
      </c>
      <c r="W36" s="39">
        <f>'Setoran 3'!I36</f>
        <v>0</v>
      </c>
      <c r="X36" s="19">
        <f t="shared" si="12"/>
        <v>0</v>
      </c>
      <c r="Y36" s="19">
        <f t="shared" si="13"/>
        <v>0</v>
      </c>
      <c r="Z36" s="39">
        <f>'Setoran 3'!J36</f>
        <v>0</v>
      </c>
      <c r="AA36" s="19">
        <f t="shared" si="14"/>
        <v>0</v>
      </c>
      <c r="AB36" s="19">
        <f t="shared" si="15"/>
        <v>0</v>
      </c>
      <c r="AC36" s="39">
        <f>'Setoran 3'!K36</f>
        <v>0</v>
      </c>
      <c r="AD36" s="19">
        <f t="shared" si="16"/>
        <v>0</v>
      </c>
      <c r="AE36" s="19">
        <f t="shared" si="17"/>
        <v>0</v>
      </c>
      <c r="AF36" s="38">
        <f>'Setoran 3'!L36</f>
        <v>0</v>
      </c>
      <c r="AG36" s="19">
        <f t="shared" si="18"/>
        <v>0</v>
      </c>
      <c r="AH36" s="19">
        <f t="shared" si="19"/>
        <v>0</v>
      </c>
      <c r="AI36" s="38">
        <f>'Setoran 3'!M36</f>
        <v>0</v>
      </c>
      <c r="AJ36" s="19">
        <f t="shared" si="20"/>
        <v>0</v>
      </c>
      <c r="AK36" s="19">
        <f t="shared" si="21"/>
        <v>0</v>
      </c>
      <c r="AL36" s="38">
        <f>'Setoran 3'!N36</f>
        <v>0</v>
      </c>
      <c r="AM36" s="19">
        <f t="shared" si="22"/>
        <v>0</v>
      </c>
      <c r="AN36" s="19">
        <f t="shared" si="23"/>
        <v>0</v>
      </c>
      <c r="AO36" s="38">
        <f>'Setoran 3'!O36</f>
        <v>0</v>
      </c>
      <c r="AP36" s="19">
        <f t="shared" si="24"/>
        <v>0</v>
      </c>
      <c r="AQ36" s="19">
        <f t="shared" si="25"/>
        <v>0</v>
      </c>
      <c r="AR36" s="38">
        <f>'Setoran 3'!P36</f>
        <v>0</v>
      </c>
      <c r="AS36" s="19">
        <f t="shared" si="26"/>
        <v>0</v>
      </c>
      <c r="AT36" s="19">
        <f t="shared" si="27"/>
        <v>0</v>
      </c>
      <c r="AU36" s="38">
        <f>'Setoran 3'!Q36</f>
        <v>0</v>
      </c>
      <c r="AV36" s="19">
        <f t="shared" si="28"/>
        <v>0</v>
      </c>
      <c r="AW36" s="19">
        <f t="shared" si="29"/>
        <v>0</v>
      </c>
      <c r="AX36" s="39">
        <f t="shared" si="30"/>
        <v>0</v>
      </c>
      <c r="AY36" s="38">
        <f t="shared" si="31"/>
        <v>0</v>
      </c>
      <c r="AZ36" s="21">
        <f t="shared" si="32"/>
        <v>0</v>
      </c>
      <c r="BA36" s="22">
        <f t="shared" si="33"/>
        <v>0</v>
      </c>
    </row>
    <row r="37" spans="1:53" ht="14.5" customHeight="1" x14ac:dyDescent="0.2">
      <c r="A37" s="64">
        <v>6</v>
      </c>
      <c r="B37" s="65" t="s">
        <v>89</v>
      </c>
      <c r="C37" s="58">
        <v>50</v>
      </c>
      <c r="D37" s="58">
        <v>100</v>
      </c>
      <c r="E37" s="39">
        <f>'Setoran 3'!C37</f>
        <v>0</v>
      </c>
      <c r="F37" s="19">
        <f t="shared" si="0"/>
        <v>0</v>
      </c>
      <c r="G37" s="19">
        <f t="shared" si="1"/>
        <v>0</v>
      </c>
      <c r="H37" s="39">
        <f>'Setoran 3'!D37</f>
        <v>0</v>
      </c>
      <c r="I37" s="19">
        <f t="shared" si="2"/>
        <v>0</v>
      </c>
      <c r="J37" s="19">
        <f t="shared" si="3"/>
        <v>0</v>
      </c>
      <c r="K37" s="39">
        <f>'Setoran 3'!E37</f>
        <v>0</v>
      </c>
      <c r="L37" s="19">
        <f t="shared" si="4"/>
        <v>0</v>
      </c>
      <c r="M37" s="19">
        <f t="shared" si="5"/>
        <v>0</v>
      </c>
      <c r="N37" s="39">
        <f>'Setoran 3'!F37</f>
        <v>0</v>
      </c>
      <c r="O37" s="19">
        <f t="shared" si="6"/>
        <v>0</v>
      </c>
      <c r="P37" s="19">
        <f t="shared" si="7"/>
        <v>0</v>
      </c>
      <c r="Q37" s="39">
        <f>'Setoran 3'!G37</f>
        <v>0</v>
      </c>
      <c r="R37" s="19">
        <f t="shared" si="8"/>
        <v>0</v>
      </c>
      <c r="S37" s="19">
        <f t="shared" si="9"/>
        <v>0</v>
      </c>
      <c r="T37" s="39">
        <f>'Setoran 3'!H37</f>
        <v>0</v>
      </c>
      <c r="U37" s="19">
        <f t="shared" si="10"/>
        <v>0</v>
      </c>
      <c r="V37" s="19">
        <f t="shared" si="11"/>
        <v>0</v>
      </c>
      <c r="W37" s="39">
        <f>'Setoran 3'!I37</f>
        <v>0</v>
      </c>
      <c r="X37" s="19">
        <f t="shared" si="12"/>
        <v>0</v>
      </c>
      <c r="Y37" s="19">
        <f t="shared" si="13"/>
        <v>0</v>
      </c>
      <c r="Z37" s="39">
        <f>'Setoran 3'!J37</f>
        <v>0</v>
      </c>
      <c r="AA37" s="19">
        <f t="shared" si="14"/>
        <v>0</v>
      </c>
      <c r="AB37" s="19">
        <f t="shared" si="15"/>
        <v>0</v>
      </c>
      <c r="AC37" s="39">
        <f>'Setoran 3'!K37</f>
        <v>0</v>
      </c>
      <c r="AD37" s="19">
        <f t="shared" si="16"/>
        <v>0</v>
      </c>
      <c r="AE37" s="19">
        <f t="shared" si="17"/>
        <v>0</v>
      </c>
      <c r="AF37" s="38">
        <f>'Setoran 3'!L37</f>
        <v>0</v>
      </c>
      <c r="AG37" s="19">
        <f t="shared" si="18"/>
        <v>0</v>
      </c>
      <c r="AH37" s="19">
        <f t="shared" si="19"/>
        <v>0</v>
      </c>
      <c r="AI37" s="38">
        <f>'Setoran 3'!M37</f>
        <v>0</v>
      </c>
      <c r="AJ37" s="19">
        <f t="shared" si="20"/>
        <v>0</v>
      </c>
      <c r="AK37" s="19">
        <f t="shared" si="21"/>
        <v>0</v>
      </c>
      <c r="AL37" s="38">
        <f>'Setoran 3'!N37</f>
        <v>0</v>
      </c>
      <c r="AM37" s="19">
        <f t="shared" si="22"/>
        <v>0</v>
      </c>
      <c r="AN37" s="19">
        <f t="shared" si="23"/>
        <v>0</v>
      </c>
      <c r="AO37" s="38">
        <f>'Setoran 3'!O37</f>
        <v>0</v>
      </c>
      <c r="AP37" s="19">
        <f t="shared" si="24"/>
        <v>0</v>
      </c>
      <c r="AQ37" s="19">
        <f t="shared" si="25"/>
        <v>0</v>
      </c>
      <c r="AR37" s="38">
        <f>'Setoran 3'!P37</f>
        <v>0</v>
      </c>
      <c r="AS37" s="19">
        <f t="shared" si="26"/>
        <v>0</v>
      </c>
      <c r="AT37" s="19">
        <f t="shared" si="27"/>
        <v>0</v>
      </c>
      <c r="AU37" s="38">
        <f>'Setoran 3'!Q37</f>
        <v>0</v>
      </c>
      <c r="AV37" s="19">
        <f t="shared" si="28"/>
        <v>0</v>
      </c>
      <c r="AW37" s="19">
        <f t="shared" si="29"/>
        <v>0</v>
      </c>
      <c r="AX37" s="39">
        <f t="shared" si="30"/>
        <v>0</v>
      </c>
      <c r="AY37" s="38">
        <f t="shared" si="31"/>
        <v>0</v>
      </c>
      <c r="AZ37" s="21">
        <f t="shared" si="32"/>
        <v>0</v>
      </c>
      <c r="BA37" s="22">
        <f t="shared" si="33"/>
        <v>0</v>
      </c>
    </row>
    <row r="38" spans="1:53" ht="14.5" customHeight="1" x14ac:dyDescent="0.2">
      <c r="A38" s="51" t="s">
        <v>26</v>
      </c>
      <c r="B38" s="5"/>
      <c r="C38" s="40"/>
      <c r="D38" s="42"/>
      <c r="E38" s="39"/>
      <c r="F38" s="19"/>
      <c r="G38" s="19"/>
      <c r="H38" s="39"/>
      <c r="I38" s="19"/>
      <c r="J38" s="19"/>
      <c r="K38" s="39"/>
      <c r="L38" s="19"/>
      <c r="M38" s="19"/>
      <c r="N38" s="39"/>
      <c r="O38" s="19"/>
      <c r="P38" s="19"/>
      <c r="Q38" s="39"/>
      <c r="R38" s="19"/>
      <c r="S38" s="19"/>
      <c r="T38" s="39"/>
      <c r="U38" s="19"/>
      <c r="V38" s="19"/>
      <c r="W38" s="39"/>
      <c r="X38" s="19"/>
      <c r="Y38" s="19"/>
      <c r="Z38" s="39"/>
      <c r="AA38" s="19"/>
      <c r="AB38" s="19"/>
      <c r="AC38" s="39"/>
      <c r="AD38" s="19"/>
      <c r="AE38" s="19"/>
      <c r="AF38" s="38"/>
      <c r="AG38" s="19"/>
      <c r="AH38" s="19"/>
      <c r="AI38" s="38"/>
      <c r="AJ38" s="19"/>
      <c r="AK38" s="19"/>
      <c r="AL38" s="38"/>
      <c r="AM38" s="19"/>
      <c r="AN38" s="19"/>
      <c r="AO38" s="38"/>
      <c r="AP38" s="19"/>
      <c r="AQ38" s="19"/>
      <c r="AR38" s="38"/>
      <c r="AS38" s="19"/>
      <c r="AT38" s="19"/>
      <c r="AU38" s="38"/>
      <c r="AV38" s="19"/>
      <c r="AW38" s="19"/>
      <c r="AX38" s="39"/>
      <c r="AY38" s="38"/>
      <c r="AZ38" s="21"/>
      <c r="BA38" s="22"/>
    </row>
    <row r="39" spans="1:53" ht="14.5" customHeight="1" x14ac:dyDescent="0.2">
      <c r="A39" s="26">
        <v>1</v>
      </c>
      <c r="B39" s="55" t="s">
        <v>92</v>
      </c>
      <c r="C39" s="58">
        <v>700</v>
      </c>
      <c r="D39" s="58">
        <v>800</v>
      </c>
      <c r="E39" s="39">
        <f>'Setoran 3'!C39</f>
        <v>0</v>
      </c>
      <c r="F39" s="19">
        <f t="shared" si="0"/>
        <v>0</v>
      </c>
      <c r="G39" s="19">
        <f t="shared" si="1"/>
        <v>0</v>
      </c>
      <c r="H39" s="39">
        <f>'Setoran 3'!D39</f>
        <v>0</v>
      </c>
      <c r="I39" s="19">
        <f t="shared" si="2"/>
        <v>0</v>
      </c>
      <c r="J39" s="19">
        <f t="shared" si="3"/>
        <v>0</v>
      </c>
      <c r="K39" s="39">
        <f>'Setoran 3'!E39</f>
        <v>0</v>
      </c>
      <c r="L39" s="19">
        <f t="shared" si="4"/>
        <v>0</v>
      </c>
      <c r="M39" s="19">
        <f t="shared" si="5"/>
        <v>0</v>
      </c>
      <c r="N39" s="39">
        <f>'Setoran 3'!F39</f>
        <v>0</v>
      </c>
      <c r="O39" s="19">
        <f t="shared" si="6"/>
        <v>0</v>
      </c>
      <c r="P39" s="19">
        <f t="shared" si="7"/>
        <v>0</v>
      </c>
      <c r="Q39" s="39">
        <f>'Setoran 3'!G39</f>
        <v>0</v>
      </c>
      <c r="R39" s="19">
        <f t="shared" si="8"/>
        <v>0</v>
      </c>
      <c r="S39" s="19">
        <f t="shared" si="9"/>
        <v>0</v>
      </c>
      <c r="T39" s="39">
        <f>'Setoran 3'!H39</f>
        <v>0</v>
      </c>
      <c r="U39" s="19">
        <f t="shared" si="10"/>
        <v>0</v>
      </c>
      <c r="V39" s="19">
        <f t="shared" si="11"/>
        <v>0</v>
      </c>
      <c r="W39" s="39">
        <f>'Setoran 3'!I39</f>
        <v>0</v>
      </c>
      <c r="X39" s="19">
        <f t="shared" si="12"/>
        <v>0</v>
      </c>
      <c r="Y39" s="19">
        <f t="shared" si="13"/>
        <v>0</v>
      </c>
      <c r="Z39" s="39">
        <f>'Setoran 3'!J39</f>
        <v>0</v>
      </c>
      <c r="AA39" s="19">
        <f t="shared" si="14"/>
        <v>0</v>
      </c>
      <c r="AB39" s="19">
        <f t="shared" si="15"/>
        <v>0</v>
      </c>
      <c r="AC39" s="39">
        <f>'Setoran 3'!K39</f>
        <v>0</v>
      </c>
      <c r="AD39" s="19">
        <f t="shared" si="16"/>
        <v>0</v>
      </c>
      <c r="AE39" s="19">
        <f t="shared" si="17"/>
        <v>0</v>
      </c>
      <c r="AF39" s="38">
        <f>'Setoran 3'!L39</f>
        <v>0</v>
      </c>
      <c r="AG39" s="19">
        <f t="shared" si="18"/>
        <v>0</v>
      </c>
      <c r="AH39" s="19">
        <f t="shared" si="19"/>
        <v>0</v>
      </c>
      <c r="AI39" s="38">
        <f>'Setoran 3'!M39</f>
        <v>0</v>
      </c>
      <c r="AJ39" s="19">
        <f t="shared" si="20"/>
        <v>0</v>
      </c>
      <c r="AK39" s="19">
        <f t="shared" si="21"/>
        <v>0</v>
      </c>
      <c r="AL39" s="38">
        <f>'Setoran 3'!N39</f>
        <v>0</v>
      </c>
      <c r="AM39" s="19">
        <f t="shared" si="22"/>
        <v>0</v>
      </c>
      <c r="AN39" s="19">
        <f t="shared" si="23"/>
        <v>0</v>
      </c>
      <c r="AO39" s="38">
        <f>'Setoran 3'!O39</f>
        <v>0</v>
      </c>
      <c r="AP39" s="19">
        <f t="shared" si="24"/>
        <v>0</v>
      </c>
      <c r="AQ39" s="19">
        <f t="shared" si="25"/>
        <v>0</v>
      </c>
      <c r="AR39" s="38">
        <f>'Setoran 3'!P39</f>
        <v>0</v>
      </c>
      <c r="AS39" s="19">
        <f t="shared" si="26"/>
        <v>0</v>
      </c>
      <c r="AT39" s="19">
        <f t="shared" si="27"/>
        <v>0</v>
      </c>
      <c r="AU39" s="38">
        <f>'Setoran 3'!Q39</f>
        <v>0</v>
      </c>
      <c r="AV39" s="19">
        <f t="shared" si="28"/>
        <v>0</v>
      </c>
      <c r="AW39" s="19">
        <f t="shared" si="29"/>
        <v>0</v>
      </c>
      <c r="AX39" s="39">
        <f t="shared" si="30"/>
        <v>0</v>
      </c>
      <c r="AY39" s="38">
        <f t="shared" si="31"/>
        <v>0</v>
      </c>
      <c r="AZ39" s="21">
        <f t="shared" si="32"/>
        <v>0</v>
      </c>
      <c r="BA39" s="22">
        <f t="shared" si="33"/>
        <v>0</v>
      </c>
    </row>
    <row r="40" spans="1:53" ht="14.5" customHeight="1" x14ac:dyDescent="0.2">
      <c r="A40" s="26">
        <v>2</v>
      </c>
      <c r="B40" s="53" t="s">
        <v>20</v>
      </c>
      <c r="C40" s="58">
        <v>600</v>
      </c>
      <c r="D40" s="58">
        <v>700</v>
      </c>
      <c r="E40" s="39">
        <f>'Setoran 3'!C40</f>
        <v>0</v>
      </c>
      <c r="F40" s="19">
        <f t="shared" si="0"/>
        <v>0</v>
      </c>
      <c r="G40" s="19">
        <f t="shared" si="1"/>
        <v>0</v>
      </c>
      <c r="H40" s="39">
        <f>'Setoran 3'!D40</f>
        <v>0</v>
      </c>
      <c r="I40" s="19">
        <f t="shared" si="2"/>
        <v>0</v>
      </c>
      <c r="J40" s="19">
        <f t="shared" si="3"/>
        <v>0</v>
      </c>
      <c r="K40" s="39">
        <f>'Setoran 3'!E40</f>
        <v>0</v>
      </c>
      <c r="L40" s="19">
        <f t="shared" si="4"/>
        <v>0</v>
      </c>
      <c r="M40" s="19">
        <f t="shared" si="5"/>
        <v>0</v>
      </c>
      <c r="N40" s="39">
        <f>'Setoran 3'!F40</f>
        <v>0</v>
      </c>
      <c r="O40" s="19">
        <f t="shared" si="6"/>
        <v>0</v>
      </c>
      <c r="P40" s="19">
        <f t="shared" si="7"/>
        <v>0</v>
      </c>
      <c r="Q40" s="39">
        <f>'Setoran 3'!G40</f>
        <v>0</v>
      </c>
      <c r="R40" s="19">
        <f t="shared" si="8"/>
        <v>0</v>
      </c>
      <c r="S40" s="19">
        <f t="shared" si="9"/>
        <v>0</v>
      </c>
      <c r="T40" s="39">
        <f>'Setoran 3'!H40</f>
        <v>0</v>
      </c>
      <c r="U40" s="19">
        <f t="shared" si="10"/>
        <v>0</v>
      </c>
      <c r="V40" s="19">
        <f t="shared" si="11"/>
        <v>0</v>
      </c>
      <c r="W40" s="39">
        <f>'Setoran 3'!I40</f>
        <v>0</v>
      </c>
      <c r="X40" s="19">
        <f t="shared" si="12"/>
        <v>0</v>
      </c>
      <c r="Y40" s="19">
        <f t="shared" si="13"/>
        <v>0</v>
      </c>
      <c r="Z40" s="39">
        <f>'Setoran 3'!J40</f>
        <v>0</v>
      </c>
      <c r="AA40" s="19">
        <f t="shared" si="14"/>
        <v>0</v>
      </c>
      <c r="AB40" s="19">
        <f t="shared" si="15"/>
        <v>0</v>
      </c>
      <c r="AC40" s="39">
        <f>'Setoran 3'!K40</f>
        <v>0</v>
      </c>
      <c r="AD40" s="19">
        <f t="shared" si="16"/>
        <v>0</v>
      </c>
      <c r="AE40" s="19">
        <f t="shared" si="17"/>
        <v>0</v>
      </c>
      <c r="AF40" s="38">
        <f>'Setoran 3'!L40</f>
        <v>0</v>
      </c>
      <c r="AG40" s="19">
        <f t="shared" si="18"/>
        <v>0</v>
      </c>
      <c r="AH40" s="19">
        <f t="shared" si="19"/>
        <v>0</v>
      </c>
      <c r="AI40" s="38">
        <f>'Setoran 3'!M40</f>
        <v>0</v>
      </c>
      <c r="AJ40" s="19">
        <f t="shared" si="20"/>
        <v>0</v>
      </c>
      <c r="AK40" s="19">
        <f t="shared" si="21"/>
        <v>0</v>
      </c>
      <c r="AL40" s="38">
        <f>'Setoran 3'!N40</f>
        <v>0</v>
      </c>
      <c r="AM40" s="19">
        <f t="shared" si="22"/>
        <v>0</v>
      </c>
      <c r="AN40" s="19">
        <f t="shared" si="23"/>
        <v>0</v>
      </c>
      <c r="AO40" s="38">
        <f>'Setoran 3'!O40</f>
        <v>0</v>
      </c>
      <c r="AP40" s="19">
        <f t="shared" si="24"/>
        <v>0</v>
      </c>
      <c r="AQ40" s="19">
        <f t="shared" si="25"/>
        <v>0</v>
      </c>
      <c r="AR40" s="38">
        <f>'Setoran 3'!P40</f>
        <v>0</v>
      </c>
      <c r="AS40" s="19">
        <f t="shared" si="26"/>
        <v>0</v>
      </c>
      <c r="AT40" s="19">
        <f t="shared" si="27"/>
        <v>0</v>
      </c>
      <c r="AU40" s="38">
        <f>'Setoran 3'!Q40</f>
        <v>0</v>
      </c>
      <c r="AV40" s="19">
        <f t="shared" si="28"/>
        <v>0</v>
      </c>
      <c r="AW40" s="19">
        <f t="shared" si="29"/>
        <v>0</v>
      </c>
      <c r="AX40" s="39">
        <f t="shared" si="30"/>
        <v>0</v>
      </c>
      <c r="AY40" s="38">
        <f t="shared" si="31"/>
        <v>0</v>
      </c>
      <c r="AZ40" s="21">
        <f t="shared" si="32"/>
        <v>0</v>
      </c>
      <c r="BA40" s="22">
        <f t="shared" si="33"/>
        <v>0</v>
      </c>
    </row>
    <row r="41" spans="1:53" ht="14.5" customHeight="1" x14ac:dyDescent="0.2">
      <c r="A41" s="70" t="s">
        <v>27</v>
      </c>
      <c r="B41" s="50"/>
      <c r="C41" s="56"/>
      <c r="D41" s="43"/>
      <c r="E41" s="39"/>
      <c r="F41" s="19"/>
      <c r="G41" s="19"/>
      <c r="H41" s="39"/>
      <c r="I41" s="19"/>
      <c r="J41" s="19"/>
      <c r="K41" s="39"/>
      <c r="L41" s="19"/>
      <c r="M41" s="19"/>
      <c r="N41" s="39"/>
      <c r="O41" s="19"/>
      <c r="P41" s="19"/>
      <c r="Q41" s="39"/>
      <c r="R41" s="19"/>
      <c r="S41" s="19"/>
      <c r="T41" s="39"/>
      <c r="U41" s="19"/>
      <c r="V41" s="19"/>
      <c r="W41" s="39"/>
      <c r="X41" s="19"/>
      <c r="Y41" s="19"/>
      <c r="Z41" s="39"/>
      <c r="AA41" s="19"/>
      <c r="AB41" s="19"/>
      <c r="AC41" s="39"/>
      <c r="AD41" s="19"/>
      <c r="AE41" s="19"/>
      <c r="AF41" s="38"/>
      <c r="AG41" s="19"/>
      <c r="AH41" s="19"/>
      <c r="AI41" s="38"/>
      <c r="AJ41" s="19"/>
      <c r="AK41" s="19"/>
      <c r="AL41" s="38"/>
      <c r="AM41" s="19"/>
      <c r="AN41" s="19"/>
      <c r="AO41" s="38"/>
      <c r="AP41" s="19"/>
      <c r="AQ41" s="19"/>
      <c r="AR41" s="38"/>
      <c r="AS41" s="19"/>
      <c r="AT41" s="19"/>
      <c r="AU41" s="38"/>
      <c r="AV41" s="19"/>
      <c r="AW41" s="19"/>
      <c r="AX41" s="39"/>
      <c r="AY41" s="38"/>
      <c r="AZ41" s="21"/>
      <c r="BA41" s="22"/>
    </row>
    <row r="42" spans="1:53" ht="14.5" customHeight="1" x14ac:dyDescent="0.2">
      <c r="A42" s="26">
        <v>1</v>
      </c>
      <c r="B42" s="53" t="s">
        <v>28</v>
      </c>
      <c r="C42" s="57">
        <v>1100</v>
      </c>
      <c r="D42" s="57">
        <v>1200</v>
      </c>
      <c r="E42" s="39">
        <f>'Setoran 3'!C42</f>
        <v>0</v>
      </c>
      <c r="F42" s="19">
        <f t="shared" si="0"/>
        <v>0</v>
      </c>
      <c r="G42" s="19">
        <f t="shared" si="1"/>
        <v>0</v>
      </c>
      <c r="H42" s="39">
        <f>'Setoran 3'!D42</f>
        <v>0</v>
      </c>
      <c r="I42" s="19">
        <f t="shared" si="2"/>
        <v>0</v>
      </c>
      <c r="J42" s="19">
        <f t="shared" si="3"/>
        <v>0</v>
      </c>
      <c r="K42" s="39">
        <f>'Setoran 3'!E42</f>
        <v>0</v>
      </c>
      <c r="L42" s="19">
        <f t="shared" si="4"/>
        <v>0</v>
      </c>
      <c r="M42" s="19">
        <f t="shared" si="5"/>
        <v>0</v>
      </c>
      <c r="N42" s="39">
        <f>'Setoran 3'!F42</f>
        <v>0</v>
      </c>
      <c r="O42" s="19">
        <f t="shared" si="6"/>
        <v>0</v>
      </c>
      <c r="P42" s="19">
        <f t="shared" si="7"/>
        <v>0</v>
      </c>
      <c r="Q42" s="39">
        <f>'Setoran 3'!G42</f>
        <v>0</v>
      </c>
      <c r="R42" s="19">
        <f t="shared" si="8"/>
        <v>0</v>
      </c>
      <c r="S42" s="19">
        <f t="shared" si="9"/>
        <v>0</v>
      </c>
      <c r="T42" s="39">
        <f>'Setoran 3'!H42</f>
        <v>0</v>
      </c>
      <c r="U42" s="19">
        <f t="shared" si="10"/>
        <v>0</v>
      </c>
      <c r="V42" s="19">
        <f t="shared" si="11"/>
        <v>0</v>
      </c>
      <c r="W42" s="39">
        <f>'Setoran 3'!I42</f>
        <v>0</v>
      </c>
      <c r="X42" s="19">
        <f t="shared" si="12"/>
        <v>0</v>
      </c>
      <c r="Y42" s="19">
        <f t="shared" si="13"/>
        <v>0</v>
      </c>
      <c r="Z42" s="39">
        <f>'Setoran 3'!J42</f>
        <v>0</v>
      </c>
      <c r="AA42" s="19">
        <f t="shared" si="14"/>
        <v>0</v>
      </c>
      <c r="AB42" s="19">
        <f t="shared" si="15"/>
        <v>0</v>
      </c>
      <c r="AC42" s="39">
        <f>'Setoran 3'!K42</f>
        <v>0</v>
      </c>
      <c r="AD42" s="19">
        <f t="shared" si="16"/>
        <v>0</v>
      </c>
      <c r="AE42" s="19">
        <f t="shared" si="17"/>
        <v>0</v>
      </c>
      <c r="AF42" s="38">
        <f>'Setoran 3'!L42</f>
        <v>0</v>
      </c>
      <c r="AG42" s="19">
        <f t="shared" si="18"/>
        <v>0</v>
      </c>
      <c r="AH42" s="19">
        <f t="shared" si="19"/>
        <v>0</v>
      </c>
      <c r="AI42" s="38">
        <f>'Setoran 3'!M42</f>
        <v>0</v>
      </c>
      <c r="AJ42" s="19">
        <f t="shared" si="20"/>
        <v>0</v>
      </c>
      <c r="AK42" s="19">
        <f t="shared" si="21"/>
        <v>0</v>
      </c>
      <c r="AL42" s="38">
        <f>'Setoran 3'!N42</f>
        <v>0</v>
      </c>
      <c r="AM42" s="19">
        <f t="shared" si="22"/>
        <v>0</v>
      </c>
      <c r="AN42" s="19">
        <f t="shared" si="23"/>
        <v>0</v>
      </c>
      <c r="AO42" s="38">
        <f>'Setoran 3'!O42</f>
        <v>0</v>
      </c>
      <c r="AP42" s="19">
        <f t="shared" si="24"/>
        <v>0</v>
      </c>
      <c r="AQ42" s="19">
        <f t="shared" si="25"/>
        <v>0</v>
      </c>
      <c r="AR42" s="38">
        <f>'Setoran 3'!P42</f>
        <v>0</v>
      </c>
      <c r="AS42" s="19">
        <f t="shared" si="26"/>
        <v>0</v>
      </c>
      <c r="AT42" s="19">
        <f t="shared" si="27"/>
        <v>0</v>
      </c>
      <c r="AU42" s="38">
        <f>'Setoran 3'!Q42</f>
        <v>0</v>
      </c>
      <c r="AV42" s="19">
        <f t="shared" si="28"/>
        <v>0</v>
      </c>
      <c r="AW42" s="19">
        <f t="shared" si="29"/>
        <v>0</v>
      </c>
      <c r="AX42" s="39">
        <f t="shared" si="30"/>
        <v>0</v>
      </c>
      <c r="AY42" s="38">
        <f t="shared" si="31"/>
        <v>0</v>
      </c>
      <c r="AZ42" s="21">
        <f t="shared" si="32"/>
        <v>0</v>
      </c>
      <c r="BA42" s="22">
        <f t="shared" si="33"/>
        <v>0</v>
      </c>
    </row>
    <row r="43" spans="1:53" ht="14.5" customHeight="1" x14ac:dyDescent="0.2">
      <c r="A43" s="23">
        <v>2</v>
      </c>
      <c r="B43" s="53" t="s">
        <v>29</v>
      </c>
      <c r="C43" s="57">
        <v>1400</v>
      </c>
      <c r="D43" s="57">
        <v>1500</v>
      </c>
      <c r="E43" s="39">
        <f>'Setoran 3'!C43</f>
        <v>0</v>
      </c>
      <c r="F43" s="19">
        <f t="shared" si="0"/>
        <v>0</v>
      </c>
      <c r="G43" s="19">
        <f t="shared" si="1"/>
        <v>0</v>
      </c>
      <c r="H43" s="39">
        <f>'Setoran 3'!D43</f>
        <v>0</v>
      </c>
      <c r="I43" s="19">
        <f t="shared" si="2"/>
        <v>0</v>
      </c>
      <c r="J43" s="19">
        <f t="shared" si="3"/>
        <v>0</v>
      </c>
      <c r="K43" s="39">
        <f>'Setoran 3'!E43</f>
        <v>0</v>
      </c>
      <c r="L43" s="19">
        <f t="shared" si="4"/>
        <v>0</v>
      </c>
      <c r="M43" s="19">
        <f t="shared" si="5"/>
        <v>0</v>
      </c>
      <c r="N43" s="39">
        <f>'Setoran 3'!F43</f>
        <v>0</v>
      </c>
      <c r="O43" s="19">
        <f t="shared" si="6"/>
        <v>0</v>
      </c>
      <c r="P43" s="19">
        <f t="shared" si="7"/>
        <v>0</v>
      </c>
      <c r="Q43" s="39">
        <f>'Setoran 3'!G43</f>
        <v>0</v>
      </c>
      <c r="R43" s="19">
        <f t="shared" si="8"/>
        <v>0</v>
      </c>
      <c r="S43" s="19">
        <f t="shared" si="9"/>
        <v>0</v>
      </c>
      <c r="T43" s="39">
        <f>'Setoran 3'!H43</f>
        <v>0</v>
      </c>
      <c r="U43" s="19">
        <f t="shared" si="10"/>
        <v>0</v>
      </c>
      <c r="V43" s="19">
        <f t="shared" si="11"/>
        <v>0</v>
      </c>
      <c r="W43" s="39">
        <f>'Setoran 3'!I43</f>
        <v>0</v>
      </c>
      <c r="X43" s="19">
        <f t="shared" si="12"/>
        <v>0</v>
      </c>
      <c r="Y43" s="19">
        <f t="shared" si="13"/>
        <v>0</v>
      </c>
      <c r="Z43" s="39">
        <f>'Setoran 3'!J43</f>
        <v>0</v>
      </c>
      <c r="AA43" s="19">
        <f t="shared" si="14"/>
        <v>0</v>
      </c>
      <c r="AB43" s="19">
        <f t="shared" si="15"/>
        <v>0</v>
      </c>
      <c r="AC43" s="39">
        <f>'Setoran 3'!K43</f>
        <v>0</v>
      </c>
      <c r="AD43" s="19">
        <f t="shared" si="16"/>
        <v>0</v>
      </c>
      <c r="AE43" s="19">
        <f t="shared" si="17"/>
        <v>0</v>
      </c>
      <c r="AF43" s="38">
        <f>'Setoran 3'!L43</f>
        <v>0</v>
      </c>
      <c r="AG43" s="19">
        <f t="shared" si="18"/>
        <v>0</v>
      </c>
      <c r="AH43" s="19">
        <f t="shared" si="19"/>
        <v>0</v>
      </c>
      <c r="AI43" s="38">
        <f>'Setoran 3'!M43</f>
        <v>0</v>
      </c>
      <c r="AJ43" s="19">
        <f t="shared" si="20"/>
        <v>0</v>
      </c>
      <c r="AK43" s="19">
        <f t="shared" si="21"/>
        <v>0</v>
      </c>
      <c r="AL43" s="38">
        <f>'Setoran 3'!N43</f>
        <v>0</v>
      </c>
      <c r="AM43" s="19">
        <f t="shared" si="22"/>
        <v>0</v>
      </c>
      <c r="AN43" s="19">
        <f t="shared" si="23"/>
        <v>0</v>
      </c>
      <c r="AO43" s="38">
        <f>'Setoran 3'!O43</f>
        <v>0</v>
      </c>
      <c r="AP43" s="19">
        <f t="shared" si="24"/>
        <v>0</v>
      </c>
      <c r="AQ43" s="19">
        <f t="shared" si="25"/>
        <v>0</v>
      </c>
      <c r="AR43" s="38">
        <f>'Setoran 3'!P43</f>
        <v>0</v>
      </c>
      <c r="AS43" s="19">
        <f t="shared" si="26"/>
        <v>0</v>
      </c>
      <c r="AT43" s="19">
        <f t="shared" si="27"/>
        <v>0</v>
      </c>
      <c r="AU43" s="38">
        <f>'Setoran 3'!Q43</f>
        <v>0</v>
      </c>
      <c r="AV43" s="19">
        <f t="shared" si="28"/>
        <v>0</v>
      </c>
      <c r="AW43" s="19">
        <f t="shared" si="29"/>
        <v>0</v>
      </c>
      <c r="AX43" s="39">
        <f t="shared" si="30"/>
        <v>0</v>
      </c>
      <c r="AY43" s="38">
        <f t="shared" si="31"/>
        <v>0</v>
      </c>
      <c r="AZ43" s="21">
        <f t="shared" si="32"/>
        <v>0</v>
      </c>
      <c r="BA43" s="22">
        <f t="shared" si="33"/>
        <v>0</v>
      </c>
    </row>
    <row r="44" spans="1:53" ht="14.5" customHeight="1" x14ac:dyDescent="0.2">
      <c r="A44" s="23">
        <v>3</v>
      </c>
      <c r="B44" s="53" t="s">
        <v>94</v>
      </c>
      <c r="C44" s="58">
        <v>500</v>
      </c>
      <c r="D44" s="58">
        <v>600</v>
      </c>
      <c r="E44" s="39">
        <f>'Setoran 3'!C44</f>
        <v>0</v>
      </c>
      <c r="F44" s="19">
        <f t="shared" si="0"/>
        <v>0</v>
      </c>
      <c r="G44" s="19">
        <f t="shared" si="1"/>
        <v>0</v>
      </c>
      <c r="H44" s="39">
        <f>'Setoran 3'!D44</f>
        <v>0</v>
      </c>
      <c r="I44" s="19">
        <f t="shared" si="2"/>
        <v>0</v>
      </c>
      <c r="J44" s="19">
        <f t="shared" si="3"/>
        <v>0</v>
      </c>
      <c r="K44" s="39">
        <f>'Setoran 3'!E44</f>
        <v>0</v>
      </c>
      <c r="L44" s="19">
        <f t="shared" si="4"/>
        <v>0</v>
      </c>
      <c r="M44" s="19">
        <f t="shared" si="5"/>
        <v>0</v>
      </c>
      <c r="N44" s="39">
        <f>'Setoran 3'!F44</f>
        <v>0</v>
      </c>
      <c r="O44" s="19">
        <f t="shared" si="6"/>
        <v>0</v>
      </c>
      <c r="P44" s="19">
        <f t="shared" si="7"/>
        <v>0</v>
      </c>
      <c r="Q44" s="39">
        <f>'Setoran 3'!G44</f>
        <v>0</v>
      </c>
      <c r="R44" s="19">
        <f t="shared" si="8"/>
        <v>0</v>
      </c>
      <c r="S44" s="19">
        <f t="shared" si="9"/>
        <v>0</v>
      </c>
      <c r="T44" s="39">
        <f>'Setoran 3'!H44</f>
        <v>0</v>
      </c>
      <c r="U44" s="19">
        <f t="shared" si="10"/>
        <v>0</v>
      </c>
      <c r="V44" s="19">
        <f t="shared" si="11"/>
        <v>0</v>
      </c>
      <c r="W44" s="39">
        <f>'Setoran 3'!I44</f>
        <v>0</v>
      </c>
      <c r="X44" s="19">
        <f t="shared" si="12"/>
        <v>0</v>
      </c>
      <c r="Y44" s="19">
        <f t="shared" si="13"/>
        <v>0</v>
      </c>
      <c r="Z44" s="39">
        <f>'Setoran 3'!J44</f>
        <v>0</v>
      </c>
      <c r="AA44" s="19">
        <f t="shared" si="14"/>
        <v>0</v>
      </c>
      <c r="AB44" s="19">
        <f t="shared" si="15"/>
        <v>0</v>
      </c>
      <c r="AC44" s="39">
        <f>'Setoran 3'!K44</f>
        <v>0</v>
      </c>
      <c r="AD44" s="19">
        <f t="shared" si="16"/>
        <v>0</v>
      </c>
      <c r="AE44" s="19">
        <f t="shared" si="17"/>
        <v>0</v>
      </c>
      <c r="AF44" s="38">
        <f>'Setoran 3'!L44</f>
        <v>0</v>
      </c>
      <c r="AG44" s="19">
        <f t="shared" si="18"/>
        <v>0</v>
      </c>
      <c r="AH44" s="19">
        <f t="shared" si="19"/>
        <v>0</v>
      </c>
      <c r="AI44" s="38">
        <f>'Setoran 3'!M44</f>
        <v>0</v>
      </c>
      <c r="AJ44" s="19">
        <f t="shared" si="20"/>
        <v>0</v>
      </c>
      <c r="AK44" s="19">
        <f t="shared" si="21"/>
        <v>0</v>
      </c>
      <c r="AL44" s="38">
        <f>'Setoran 3'!N44</f>
        <v>0</v>
      </c>
      <c r="AM44" s="19">
        <f t="shared" si="22"/>
        <v>0</v>
      </c>
      <c r="AN44" s="19">
        <f t="shared" si="23"/>
        <v>0</v>
      </c>
      <c r="AO44" s="38">
        <f>'Setoran 3'!O44</f>
        <v>0</v>
      </c>
      <c r="AP44" s="19">
        <f t="shared" si="24"/>
        <v>0</v>
      </c>
      <c r="AQ44" s="19">
        <f t="shared" si="25"/>
        <v>0</v>
      </c>
      <c r="AR44" s="38">
        <f>'Setoran 3'!P44</f>
        <v>0</v>
      </c>
      <c r="AS44" s="19">
        <f t="shared" si="26"/>
        <v>0</v>
      </c>
      <c r="AT44" s="19">
        <f t="shared" si="27"/>
        <v>0</v>
      </c>
      <c r="AU44" s="38">
        <f>'Setoran 3'!Q44</f>
        <v>0</v>
      </c>
      <c r="AV44" s="19">
        <f t="shared" si="28"/>
        <v>0</v>
      </c>
      <c r="AW44" s="19">
        <f t="shared" si="29"/>
        <v>0</v>
      </c>
      <c r="AX44" s="39">
        <f t="shared" si="30"/>
        <v>0</v>
      </c>
      <c r="AY44" s="38">
        <f t="shared" si="31"/>
        <v>0</v>
      </c>
      <c r="AZ44" s="21">
        <f t="shared" si="32"/>
        <v>0</v>
      </c>
      <c r="BA44" s="22">
        <f t="shared" si="33"/>
        <v>0</v>
      </c>
    </row>
    <row r="45" spans="1:53" ht="14.5" customHeight="1" x14ac:dyDescent="0.2">
      <c r="A45" s="23">
        <v>4</v>
      </c>
      <c r="B45" s="53" t="s">
        <v>30</v>
      </c>
      <c r="C45" s="58">
        <v>400</v>
      </c>
      <c r="D45" s="58">
        <v>500</v>
      </c>
      <c r="E45" s="39">
        <f>'Setoran 3'!C45</f>
        <v>0</v>
      </c>
      <c r="F45" s="19">
        <f t="shared" si="0"/>
        <v>0</v>
      </c>
      <c r="G45" s="19">
        <f t="shared" si="1"/>
        <v>0</v>
      </c>
      <c r="H45" s="39">
        <f>'Setoran 3'!D45</f>
        <v>0</v>
      </c>
      <c r="I45" s="19">
        <f t="shared" si="2"/>
        <v>0</v>
      </c>
      <c r="J45" s="19">
        <f t="shared" si="3"/>
        <v>0</v>
      </c>
      <c r="K45" s="39">
        <f>'Setoran 3'!E45</f>
        <v>0</v>
      </c>
      <c r="L45" s="19">
        <f t="shared" si="4"/>
        <v>0</v>
      </c>
      <c r="M45" s="19">
        <f t="shared" si="5"/>
        <v>0</v>
      </c>
      <c r="N45" s="39">
        <f>'Setoran 3'!F45</f>
        <v>0</v>
      </c>
      <c r="O45" s="19">
        <f t="shared" si="6"/>
        <v>0</v>
      </c>
      <c r="P45" s="19">
        <f t="shared" si="7"/>
        <v>0</v>
      </c>
      <c r="Q45" s="39">
        <f>'Setoran 3'!G45</f>
        <v>0</v>
      </c>
      <c r="R45" s="19">
        <f t="shared" si="8"/>
        <v>0</v>
      </c>
      <c r="S45" s="19">
        <f t="shared" si="9"/>
        <v>0</v>
      </c>
      <c r="T45" s="39">
        <f>'Setoran 3'!H45</f>
        <v>0</v>
      </c>
      <c r="U45" s="19">
        <f t="shared" si="10"/>
        <v>0</v>
      </c>
      <c r="V45" s="19">
        <f t="shared" si="11"/>
        <v>0</v>
      </c>
      <c r="W45" s="39">
        <f>'Setoran 3'!I45</f>
        <v>0</v>
      </c>
      <c r="X45" s="19">
        <f t="shared" si="12"/>
        <v>0</v>
      </c>
      <c r="Y45" s="19">
        <f t="shared" si="13"/>
        <v>0</v>
      </c>
      <c r="Z45" s="39">
        <f>'Setoran 3'!J45</f>
        <v>0</v>
      </c>
      <c r="AA45" s="19">
        <f t="shared" si="14"/>
        <v>0</v>
      </c>
      <c r="AB45" s="19">
        <f t="shared" si="15"/>
        <v>0</v>
      </c>
      <c r="AC45" s="39">
        <f>'Setoran 3'!K45</f>
        <v>0</v>
      </c>
      <c r="AD45" s="19">
        <f t="shared" si="16"/>
        <v>0</v>
      </c>
      <c r="AE45" s="19">
        <f t="shared" si="17"/>
        <v>0</v>
      </c>
      <c r="AF45" s="38">
        <f>'Setoran 3'!L45</f>
        <v>0</v>
      </c>
      <c r="AG45" s="19">
        <f t="shared" si="18"/>
        <v>0</v>
      </c>
      <c r="AH45" s="19">
        <f t="shared" si="19"/>
        <v>0</v>
      </c>
      <c r="AI45" s="38">
        <f>'Setoran 3'!M45</f>
        <v>0</v>
      </c>
      <c r="AJ45" s="19">
        <f t="shared" si="20"/>
        <v>0</v>
      </c>
      <c r="AK45" s="19">
        <f t="shared" si="21"/>
        <v>0</v>
      </c>
      <c r="AL45" s="38">
        <f>'Setoran 3'!N45</f>
        <v>0</v>
      </c>
      <c r="AM45" s="19">
        <f t="shared" si="22"/>
        <v>0</v>
      </c>
      <c r="AN45" s="19">
        <f t="shared" si="23"/>
        <v>0</v>
      </c>
      <c r="AO45" s="38">
        <f>'Setoran 3'!O45</f>
        <v>0</v>
      </c>
      <c r="AP45" s="19">
        <f t="shared" si="24"/>
        <v>0</v>
      </c>
      <c r="AQ45" s="19">
        <f t="shared" si="25"/>
        <v>0</v>
      </c>
      <c r="AR45" s="38">
        <f>'Setoran 3'!P45</f>
        <v>0</v>
      </c>
      <c r="AS45" s="19">
        <f t="shared" si="26"/>
        <v>0</v>
      </c>
      <c r="AT45" s="19">
        <f t="shared" si="27"/>
        <v>0</v>
      </c>
      <c r="AU45" s="38">
        <f>'Setoran 3'!Q45</f>
        <v>0</v>
      </c>
      <c r="AV45" s="19">
        <f t="shared" si="28"/>
        <v>0</v>
      </c>
      <c r="AW45" s="19">
        <f t="shared" si="29"/>
        <v>0</v>
      </c>
      <c r="AX45" s="39">
        <f t="shared" si="30"/>
        <v>0</v>
      </c>
      <c r="AY45" s="38">
        <f t="shared" si="31"/>
        <v>0</v>
      </c>
      <c r="AZ45" s="21">
        <f t="shared" si="32"/>
        <v>0</v>
      </c>
      <c r="BA45" s="22">
        <f t="shared" si="33"/>
        <v>0</v>
      </c>
    </row>
    <row r="46" spans="1:53" ht="14.5" customHeight="1" x14ac:dyDescent="0.2">
      <c r="A46" s="23">
        <v>5</v>
      </c>
      <c r="B46" s="53" t="s">
        <v>31</v>
      </c>
      <c r="C46" s="57">
        <v>1800</v>
      </c>
      <c r="D46" s="57">
        <v>2000</v>
      </c>
      <c r="E46" s="39">
        <f>'Setoran 3'!C46</f>
        <v>0</v>
      </c>
      <c r="F46" s="19">
        <f t="shared" si="0"/>
        <v>0</v>
      </c>
      <c r="G46" s="19">
        <f t="shared" si="1"/>
        <v>0</v>
      </c>
      <c r="H46" s="39">
        <f>'Setoran 3'!D46</f>
        <v>0</v>
      </c>
      <c r="I46" s="19">
        <f t="shared" si="2"/>
        <v>0</v>
      </c>
      <c r="J46" s="19">
        <f t="shared" si="3"/>
        <v>0</v>
      </c>
      <c r="K46" s="39">
        <f>'Setoran 3'!E46</f>
        <v>0</v>
      </c>
      <c r="L46" s="19">
        <f t="shared" si="4"/>
        <v>0</v>
      </c>
      <c r="M46" s="19">
        <f t="shared" si="5"/>
        <v>0</v>
      </c>
      <c r="N46" s="39">
        <f>'Setoran 3'!F46</f>
        <v>0</v>
      </c>
      <c r="O46" s="19">
        <f t="shared" si="6"/>
        <v>0</v>
      </c>
      <c r="P46" s="19">
        <f t="shared" si="7"/>
        <v>0</v>
      </c>
      <c r="Q46" s="39">
        <f>'Setoran 3'!G46</f>
        <v>0</v>
      </c>
      <c r="R46" s="19">
        <f t="shared" si="8"/>
        <v>0</v>
      </c>
      <c r="S46" s="19">
        <f t="shared" si="9"/>
        <v>0</v>
      </c>
      <c r="T46" s="39">
        <f>'Setoran 3'!H46</f>
        <v>0</v>
      </c>
      <c r="U46" s="19">
        <f t="shared" si="10"/>
        <v>0</v>
      </c>
      <c r="V46" s="19">
        <f t="shared" si="11"/>
        <v>0</v>
      </c>
      <c r="W46" s="39">
        <f>'Setoran 3'!I46</f>
        <v>0</v>
      </c>
      <c r="X46" s="19">
        <f t="shared" si="12"/>
        <v>0</v>
      </c>
      <c r="Y46" s="19">
        <f t="shared" si="13"/>
        <v>0</v>
      </c>
      <c r="Z46" s="39">
        <f>'Setoran 3'!J46</f>
        <v>0</v>
      </c>
      <c r="AA46" s="19">
        <f t="shared" si="14"/>
        <v>0</v>
      </c>
      <c r="AB46" s="19">
        <f t="shared" si="15"/>
        <v>0</v>
      </c>
      <c r="AC46" s="39">
        <f>'Setoran 3'!K46</f>
        <v>0</v>
      </c>
      <c r="AD46" s="19">
        <f t="shared" si="16"/>
        <v>0</v>
      </c>
      <c r="AE46" s="19">
        <f t="shared" si="17"/>
        <v>0</v>
      </c>
      <c r="AF46" s="38">
        <f>'Setoran 3'!L46</f>
        <v>0</v>
      </c>
      <c r="AG46" s="19">
        <f t="shared" si="18"/>
        <v>0</v>
      </c>
      <c r="AH46" s="19">
        <f t="shared" si="19"/>
        <v>0</v>
      </c>
      <c r="AI46" s="38">
        <f>'Setoran 3'!M46</f>
        <v>0</v>
      </c>
      <c r="AJ46" s="19">
        <f t="shared" si="20"/>
        <v>0</v>
      </c>
      <c r="AK46" s="19">
        <f t="shared" si="21"/>
        <v>0</v>
      </c>
      <c r="AL46" s="38">
        <f>'Setoran 3'!N46</f>
        <v>0</v>
      </c>
      <c r="AM46" s="19">
        <f t="shared" si="22"/>
        <v>0</v>
      </c>
      <c r="AN46" s="19">
        <f t="shared" si="23"/>
        <v>0</v>
      </c>
      <c r="AO46" s="38">
        <f>'Setoran 3'!O46</f>
        <v>0</v>
      </c>
      <c r="AP46" s="19">
        <f t="shared" si="24"/>
        <v>0</v>
      </c>
      <c r="AQ46" s="19">
        <f t="shared" si="25"/>
        <v>0</v>
      </c>
      <c r="AR46" s="38">
        <f>'Setoran 3'!P46</f>
        <v>0</v>
      </c>
      <c r="AS46" s="19">
        <f t="shared" si="26"/>
        <v>0</v>
      </c>
      <c r="AT46" s="19">
        <f t="shared" si="27"/>
        <v>0</v>
      </c>
      <c r="AU46" s="38">
        <f>'Setoran 3'!Q46</f>
        <v>0</v>
      </c>
      <c r="AV46" s="19">
        <f t="shared" si="28"/>
        <v>0</v>
      </c>
      <c r="AW46" s="19">
        <f t="shared" si="29"/>
        <v>0</v>
      </c>
      <c r="AX46" s="39">
        <f t="shared" si="30"/>
        <v>0</v>
      </c>
      <c r="AY46" s="38">
        <f t="shared" si="31"/>
        <v>0</v>
      </c>
      <c r="AZ46" s="21">
        <f t="shared" si="32"/>
        <v>0</v>
      </c>
      <c r="BA46" s="22">
        <f t="shared" si="33"/>
        <v>0</v>
      </c>
    </row>
    <row r="47" spans="1:53" ht="14.5" customHeight="1" x14ac:dyDescent="0.2">
      <c r="A47" s="23">
        <v>6</v>
      </c>
      <c r="B47" s="53" t="s">
        <v>32</v>
      </c>
      <c r="C47" s="58">
        <v>400</v>
      </c>
      <c r="D47" s="58">
        <v>500</v>
      </c>
      <c r="E47" s="39">
        <f>'Setoran 3'!C47</f>
        <v>0</v>
      </c>
      <c r="F47" s="19">
        <f t="shared" si="0"/>
        <v>0</v>
      </c>
      <c r="G47" s="19">
        <f t="shared" si="1"/>
        <v>0</v>
      </c>
      <c r="H47" s="39">
        <f>'Setoran 3'!D47</f>
        <v>0</v>
      </c>
      <c r="I47" s="19">
        <f t="shared" si="2"/>
        <v>0</v>
      </c>
      <c r="J47" s="19">
        <f t="shared" si="3"/>
        <v>0</v>
      </c>
      <c r="K47" s="39">
        <f>'Setoran 3'!E47</f>
        <v>0</v>
      </c>
      <c r="L47" s="19">
        <f t="shared" si="4"/>
        <v>0</v>
      </c>
      <c r="M47" s="19">
        <f t="shared" si="5"/>
        <v>0</v>
      </c>
      <c r="N47" s="39">
        <f>'Setoran 3'!F47</f>
        <v>0</v>
      </c>
      <c r="O47" s="19">
        <f t="shared" si="6"/>
        <v>0</v>
      </c>
      <c r="P47" s="19">
        <f t="shared" si="7"/>
        <v>0</v>
      </c>
      <c r="Q47" s="39">
        <f>'Setoran 3'!G47</f>
        <v>0</v>
      </c>
      <c r="R47" s="19">
        <f t="shared" si="8"/>
        <v>0</v>
      </c>
      <c r="S47" s="19">
        <f t="shared" si="9"/>
        <v>0</v>
      </c>
      <c r="T47" s="39">
        <f>'Setoran 3'!H47</f>
        <v>0</v>
      </c>
      <c r="U47" s="19">
        <f t="shared" si="10"/>
        <v>0</v>
      </c>
      <c r="V47" s="19">
        <f t="shared" si="11"/>
        <v>0</v>
      </c>
      <c r="W47" s="39">
        <f>'Setoran 3'!I47</f>
        <v>0</v>
      </c>
      <c r="X47" s="19">
        <f t="shared" si="12"/>
        <v>0</v>
      </c>
      <c r="Y47" s="19">
        <f t="shared" si="13"/>
        <v>0</v>
      </c>
      <c r="Z47" s="39">
        <f>'Setoran 3'!J47</f>
        <v>0</v>
      </c>
      <c r="AA47" s="19">
        <f t="shared" si="14"/>
        <v>0</v>
      </c>
      <c r="AB47" s="19">
        <f t="shared" si="15"/>
        <v>0</v>
      </c>
      <c r="AC47" s="39">
        <f>'Setoran 3'!K47</f>
        <v>0</v>
      </c>
      <c r="AD47" s="19">
        <f t="shared" si="16"/>
        <v>0</v>
      </c>
      <c r="AE47" s="19">
        <f t="shared" si="17"/>
        <v>0</v>
      </c>
      <c r="AF47" s="38">
        <f>'Setoran 3'!L47</f>
        <v>0</v>
      </c>
      <c r="AG47" s="19">
        <f t="shared" si="18"/>
        <v>0</v>
      </c>
      <c r="AH47" s="19">
        <f t="shared" si="19"/>
        <v>0</v>
      </c>
      <c r="AI47" s="38">
        <f>'Setoran 3'!M47</f>
        <v>0</v>
      </c>
      <c r="AJ47" s="19">
        <f t="shared" si="20"/>
        <v>0</v>
      </c>
      <c r="AK47" s="19">
        <f t="shared" si="21"/>
        <v>0</v>
      </c>
      <c r="AL47" s="38">
        <f>'Setoran 3'!N47</f>
        <v>0</v>
      </c>
      <c r="AM47" s="19">
        <f t="shared" si="22"/>
        <v>0</v>
      </c>
      <c r="AN47" s="19">
        <f t="shared" si="23"/>
        <v>0</v>
      </c>
      <c r="AO47" s="38">
        <f>'Setoran 3'!O47</f>
        <v>0</v>
      </c>
      <c r="AP47" s="19">
        <f t="shared" si="24"/>
        <v>0</v>
      </c>
      <c r="AQ47" s="19">
        <f t="shared" si="25"/>
        <v>0</v>
      </c>
      <c r="AR47" s="38">
        <f>'Setoran 3'!P47</f>
        <v>0</v>
      </c>
      <c r="AS47" s="19">
        <f t="shared" si="26"/>
        <v>0</v>
      </c>
      <c r="AT47" s="19">
        <f t="shared" si="27"/>
        <v>0</v>
      </c>
      <c r="AU47" s="38">
        <f>'Setoran 3'!Q47</f>
        <v>0</v>
      </c>
      <c r="AV47" s="19">
        <f t="shared" si="28"/>
        <v>0</v>
      </c>
      <c r="AW47" s="19">
        <f t="shared" si="29"/>
        <v>0</v>
      </c>
      <c r="AX47" s="39">
        <f t="shared" si="30"/>
        <v>0</v>
      </c>
      <c r="AY47" s="38">
        <f t="shared" si="31"/>
        <v>0</v>
      </c>
      <c r="AZ47" s="21">
        <f t="shared" si="32"/>
        <v>0</v>
      </c>
      <c r="BA47" s="22">
        <f t="shared" si="33"/>
        <v>0</v>
      </c>
    </row>
    <row r="48" spans="1:53" ht="14.5" customHeight="1" x14ac:dyDescent="0.2">
      <c r="A48" s="23">
        <v>7</v>
      </c>
      <c r="B48" s="53" t="s">
        <v>33</v>
      </c>
      <c r="C48" s="57">
        <v>1100</v>
      </c>
      <c r="D48" s="57">
        <v>1200</v>
      </c>
      <c r="E48" s="39">
        <f>'Setoran 3'!C48</f>
        <v>0</v>
      </c>
      <c r="F48" s="19">
        <f t="shared" si="0"/>
        <v>0</v>
      </c>
      <c r="G48" s="19">
        <f t="shared" si="1"/>
        <v>0</v>
      </c>
      <c r="H48" s="39">
        <f>'Setoran 3'!D48</f>
        <v>0</v>
      </c>
      <c r="I48" s="19">
        <f t="shared" si="2"/>
        <v>0</v>
      </c>
      <c r="J48" s="19">
        <f t="shared" si="3"/>
        <v>0</v>
      </c>
      <c r="K48" s="39">
        <f>'Setoran 3'!E48</f>
        <v>0</v>
      </c>
      <c r="L48" s="19">
        <f t="shared" si="4"/>
        <v>0</v>
      </c>
      <c r="M48" s="19">
        <f t="shared" si="5"/>
        <v>0</v>
      </c>
      <c r="N48" s="39">
        <f>'Setoran 3'!F48</f>
        <v>0</v>
      </c>
      <c r="O48" s="19">
        <f t="shared" si="6"/>
        <v>0</v>
      </c>
      <c r="P48" s="19">
        <f t="shared" si="7"/>
        <v>0</v>
      </c>
      <c r="Q48" s="39">
        <f>'Setoran 3'!G48</f>
        <v>0</v>
      </c>
      <c r="R48" s="19">
        <f t="shared" si="8"/>
        <v>0</v>
      </c>
      <c r="S48" s="19">
        <f t="shared" si="9"/>
        <v>0</v>
      </c>
      <c r="T48" s="39">
        <f>'Setoran 3'!H48</f>
        <v>0</v>
      </c>
      <c r="U48" s="19">
        <f t="shared" si="10"/>
        <v>0</v>
      </c>
      <c r="V48" s="19">
        <f t="shared" si="11"/>
        <v>0</v>
      </c>
      <c r="W48" s="39">
        <f>'Setoran 3'!I48</f>
        <v>0</v>
      </c>
      <c r="X48" s="19">
        <f t="shared" si="12"/>
        <v>0</v>
      </c>
      <c r="Y48" s="19">
        <f t="shared" si="13"/>
        <v>0</v>
      </c>
      <c r="Z48" s="39">
        <f>'Setoran 3'!J48</f>
        <v>0</v>
      </c>
      <c r="AA48" s="19">
        <f t="shared" si="14"/>
        <v>0</v>
      </c>
      <c r="AB48" s="19">
        <f t="shared" si="15"/>
        <v>0</v>
      </c>
      <c r="AC48" s="39">
        <f>'Setoran 3'!K48</f>
        <v>0</v>
      </c>
      <c r="AD48" s="19">
        <f t="shared" si="16"/>
        <v>0</v>
      </c>
      <c r="AE48" s="19">
        <f t="shared" si="17"/>
        <v>0</v>
      </c>
      <c r="AF48" s="38">
        <f>'Setoran 3'!L48</f>
        <v>0</v>
      </c>
      <c r="AG48" s="19">
        <f t="shared" si="18"/>
        <v>0</v>
      </c>
      <c r="AH48" s="19">
        <f t="shared" si="19"/>
        <v>0</v>
      </c>
      <c r="AI48" s="38">
        <f>'Setoran 3'!M48</f>
        <v>0</v>
      </c>
      <c r="AJ48" s="19">
        <f t="shared" si="20"/>
        <v>0</v>
      </c>
      <c r="AK48" s="19">
        <f t="shared" si="21"/>
        <v>0</v>
      </c>
      <c r="AL48" s="38">
        <f>'Setoran 3'!N48</f>
        <v>0</v>
      </c>
      <c r="AM48" s="19">
        <f t="shared" si="22"/>
        <v>0</v>
      </c>
      <c r="AN48" s="19">
        <f t="shared" si="23"/>
        <v>0</v>
      </c>
      <c r="AO48" s="38">
        <f>'Setoran 3'!O48</f>
        <v>0</v>
      </c>
      <c r="AP48" s="19">
        <f t="shared" si="24"/>
        <v>0</v>
      </c>
      <c r="AQ48" s="19">
        <f t="shared" si="25"/>
        <v>0</v>
      </c>
      <c r="AR48" s="38">
        <f>'Setoran 3'!P48</f>
        <v>0</v>
      </c>
      <c r="AS48" s="19">
        <f t="shared" si="26"/>
        <v>0</v>
      </c>
      <c r="AT48" s="19">
        <f t="shared" si="27"/>
        <v>0</v>
      </c>
      <c r="AU48" s="38">
        <f>'Setoran 3'!Q48</f>
        <v>0</v>
      </c>
      <c r="AV48" s="19">
        <f t="shared" si="28"/>
        <v>0</v>
      </c>
      <c r="AW48" s="19">
        <f t="shared" si="29"/>
        <v>0</v>
      </c>
      <c r="AX48" s="39">
        <f t="shared" si="30"/>
        <v>0</v>
      </c>
      <c r="AY48" s="38">
        <f t="shared" si="31"/>
        <v>0</v>
      </c>
      <c r="AZ48" s="21">
        <f t="shared" si="32"/>
        <v>0</v>
      </c>
      <c r="BA48" s="22">
        <f t="shared" si="33"/>
        <v>0</v>
      </c>
    </row>
    <row r="49" spans="1:53" ht="14.5" customHeight="1" x14ac:dyDescent="0.2">
      <c r="A49" s="23">
        <v>8</v>
      </c>
      <c r="B49" s="53" t="s">
        <v>34</v>
      </c>
      <c r="C49" s="57">
        <v>800</v>
      </c>
      <c r="D49" s="57">
        <v>1000</v>
      </c>
      <c r="E49" s="39">
        <f>'Setoran 3'!C49</f>
        <v>0</v>
      </c>
      <c r="F49" s="19">
        <f t="shared" si="0"/>
        <v>0</v>
      </c>
      <c r="G49" s="19">
        <f t="shared" si="1"/>
        <v>0</v>
      </c>
      <c r="H49" s="39">
        <f>'Setoran 3'!D49</f>
        <v>0</v>
      </c>
      <c r="I49" s="19">
        <f t="shared" si="2"/>
        <v>0</v>
      </c>
      <c r="J49" s="19">
        <f t="shared" si="3"/>
        <v>0</v>
      </c>
      <c r="K49" s="39">
        <f>'Setoran 3'!E49</f>
        <v>0</v>
      </c>
      <c r="L49" s="19">
        <f t="shared" si="4"/>
        <v>0</v>
      </c>
      <c r="M49" s="19">
        <f t="shared" si="5"/>
        <v>0</v>
      </c>
      <c r="N49" s="39">
        <f>'Setoran 3'!F49</f>
        <v>0</v>
      </c>
      <c r="O49" s="19">
        <f t="shared" si="6"/>
        <v>0</v>
      </c>
      <c r="P49" s="19">
        <f t="shared" si="7"/>
        <v>0</v>
      </c>
      <c r="Q49" s="39">
        <f>'Setoran 3'!G49</f>
        <v>0</v>
      </c>
      <c r="R49" s="19">
        <f t="shared" si="8"/>
        <v>0</v>
      </c>
      <c r="S49" s="19">
        <f t="shared" si="9"/>
        <v>0</v>
      </c>
      <c r="T49" s="39">
        <f>'Setoran 3'!H49</f>
        <v>0</v>
      </c>
      <c r="U49" s="19">
        <f t="shared" si="10"/>
        <v>0</v>
      </c>
      <c r="V49" s="19">
        <f t="shared" si="11"/>
        <v>0</v>
      </c>
      <c r="W49" s="39">
        <f>'Setoran 3'!I49</f>
        <v>0</v>
      </c>
      <c r="X49" s="19">
        <f t="shared" si="12"/>
        <v>0</v>
      </c>
      <c r="Y49" s="19">
        <f t="shared" si="13"/>
        <v>0</v>
      </c>
      <c r="Z49" s="39">
        <f>'Setoran 3'!J49</f>
        <v>0</v>
      </c>
      <c r="AA49" s="19">
        <f t="shared" si="14"/>
        <v>0</v>
      </c>
      <c r="AB49" s="19">
        <f t="shared" si="15"/>
        <v>0</v>
      </c>
      <c r="AC49" s="39">
        <f>'Setoran 3'!K49</f>
        <v>0</v>
      </c>
      <c r="AD49" s="19">
        <f t="shared" si="16"/>
        <v>0</v>
      </c>
      <c r="AE49" s="19">
        <f t="shared" si="17"/>
        <v>0</v>
      </c>
      <c r="AF49" s="38">
        <f>'Setoran 3'!L49</f>
        <v>0</v>
      </c>
      <c r="AG49" s="19">
        <f t="shared" si="18"/>
        <v>0</v>
      </c>
      <c r="AH49" s="19">
        <f t="shared" si="19"/>
        <v>0</v>
      </c>
      <c r="AI49" s="38">
        <f>'Setoran 3'!M49</f>
        <v>0</v>
      </c>
      <c r="AJ49" s="19">
        <f t="shared" si="20"/>
        <v>0</v>
      </c>
      <c r="AK49" s="19">
        <f t="shared" si="21"/>
        <v>0</v>
      </c>
      <c r="AL49" s="38">
        <f>'Setoran 3'!N49</f>
        <v>0</v>
      </c>
      <c r="AM49" s="19">
        <f t="shared" si="22"/>
        <v>0</v>
      </c>
      <c r="AN49" s="19">
        <f t="shared" si="23"/>
        <v>0</v>
      </c>
      <c r="AO49" s="38">
        <f>'Setoran 3'!O49</f>
        <v>0</v>
      </c>
      <c r="AP49" s="19">
        <f t="shared" si="24"/>
        <v>0</v>
      </c>
      <c r="AQ49" s="19">
        <f t="shared" si="25"/>
        <v>0</v>
      </c>
      <c r="AR49" s="38">
        <f>'Setoran 3'!P49</f>
        <v>0</v>
      </c>
      <c r="AS49" s="19">
        <f t="shared" si="26"/>
        <v>0</v>
      </c>
      <c r="AT49" s="19">
        <f t="shared" si="27"/>
        <v>0</v>
      </c>
      <c r="AU49" s="38">
        <f>'Setoran 3'!Q49</f>
        <v>0</v>
      </c>
      <c r="AV49" s="19">
        <f t="shared" si="28"/>
        <v>0</v>
      </c>
      <c r="AW49" s="19">
        <f t="shared" si="29"/>
        <v>0</v>
      </c>
      <c r="AX49" s="39">
        <f t="shared" si="30"/>
        <v>0</v>
      </c>
      <c r="AY49" s="38">
        <f t="shared" si="31"/>
        <v>0</v>
      </c>
      <c r="AZ49" s="21">
        <f t="shared" si="32"/>
        <v>0</v>
      </c>
      <c r="BA49" s="22">
        <f t="shared" si="33"/>
        <v>0</v>
      </c>
    </row>
    <row r="50" spans="1:53" ht="14.5" customHeight="1" x14ac:dyDescent="0.2">
      <c r="A50" s="51" t="s">
        <v>35</v>
      </c>
      <c r="B50" s="5"/>
      <c r="C50" s="40"/>
      <c r="D50" s="42"/>
      <c r="E50" s="39"/>
      <c r="F50" s="19"/>
      <c r="G50" s="19"/>
      <c r="H50" s="39"/>
      <c r="I50" s="19"/>
      <c r="J50" s="19"/>
      <c r="K50" s="39"/>
      <c r="L50" s="19"/>
      <c r="M50" s="19"/>
      <c r="N50" s="39"/>
      <c r="O50" s="19"/>
      <c r="P50" s="19"/>
      <c r="Q50" s="39"/>
      <c r="R50" s="19"/>
      <c r="S50" s="19"/>
      <c r="T50" s="39"/>
      <c r="U50" s="19"/>
      <c r="V50" s="19"/>
      <c r="W50" s="39"/>
      <c r="X50" s="19"/>
      <c r="Y50" s="19"/>
      <c r="Z50" s="39"/>
      <c r="AA50" s="19"/>
      <c r="AB50" s="19"/>
      <c r="AC50" s="39"/>
      <c r="AD50" s="19"/>
      <c r="AE50" s="19"/>
      <c r="AF50" s="38"/>
      <c r="AG50" s="19"/>
      <c r="AH50" s="19"/>
      <c r="AI50" s="38"/>
      <c r="AJ50" s="19"/>
      <c r="AK50" s="19"/>
      <c r="AL50" s="38"/>
      <c r="AM50" s="19"/>
      <c r="AN50" s="19"/>
      <c r="AO50" s="38"/>
      <c r="AP50" s="19"/>
      <c r="AQ50" s="19"/>
      <c r="AR50" s="38"/>
      <c r="AS50" s="19"/>
      <c r="AT50" s="19"/>
      <c r="AU50" s="38"/>
      <c r="AV50" s="19"/>
      <c r="AW50" s="19"/>
      <c r="AX50" s="39"/>
      <c r="AY50" s="38"/>
      <c r="AZ50" s="21"/>
      <c r="BA50" s="22"/>
    </row>
    <row r="51" spans="1:53" ht="14.5" customHeight="1" x14ac:dyDescent="0.2">
      <c r="A51" s="71">
        <v>1</v>
      </c>
      <c r="B51" s="53" t="s">
        <v>36</v>
      </c>
      <c r="C51" s="57">
        <v>800</v>
      </c>
      <c r="D51" s="57">
        <v>1000</v>
      </c>
      <c r="E51" s="39">
        <f>'Setoran 3'!C51</f>
        <v>0</v>
      </c>
      <c r="F51" s="19">
        <f t="shared" si="0"/>
        <v>0</v>
      </c>
      <c r="G51" s="19">
        <f t="shared" si="1"/>
        <v>0</v>
      </c>
      <c r="H51" s="39">
        <f>'Setoran 3'!D51</f>
        <v>0</v>
      </c>
      <c r="I51" s="19">
        <f t="shared" si="2"/>
        <v>0</v>
      </c>
      <c r="J51" s="19">
        <f t="shared" si="3"/>
        <v>0</v>
      </c>
      <c r="K51" s="39">
        <f>'Setoran 3'!E51</f>
        <v>0</v>
      </c>
      <c r="L51" s="19">
        <f t="shared" si="4"/>
        <v>0</v>
      </c>
      <c r="M51" s="19">
        <f t="shared" si="5"/>
        <v>0</v>
      </c>
      <c r="N51" s="39">
        <f>'Setoran 3'!F51</f>
        <v>0</v>
      </c>
      <c r="O51" s="19">
        <f t="shared" si="6"/>
        <v>0</v>
      </c>
      <c r="P51" s="19">
        <f t="shared" si="7"/>
        <v>0</v>
      </c>
      <c r="Q51" s="39">
        <f>'Setoran 3'!G51</f>
        <v>0</v>
      </c>
      <c r="R51" s="19">
        <f t="shared" si="8"/>
        <v>0</v>
      </c>
      <c r="S51" s="19">
        <f t="shared" si="9"/>
        <v>0</v>
      </c>
      <c r="T51" s="39">
        <f>'Setoran 3'!H51</f>
        <v>0</v>
      </c>
      <c r="U51" s="19">
        <f t="shared" si="10"/>
        <v>0</v>
      </c>
      <c r="V51" s="19">
        <f t="shared" si="11"/>
        <v>0</v>
      </c>
      <c r="W51" s="39">
        <f>'Setoran 3'!I51</f>
        <v>0</v>
      </c>
      <c r="X51" s="19">
        <f t="shared" si="12"/>
        <v>0</v>
      </c>
      <c r="Y51" s="19">
        <f t="shared" si="13"/>
        <v>0</v>
      </c>
      <c r="Z51" s="39">
        <f>'Setoran 3'!J51</f>
        <v>0</v>
      </c>
      <c r="AA51" s="19">
        <f t="shared" si="14"/>
        <v>0</v>
      </c>
      <c r="AB51" s="19">
        <f t="shared" si="15"/>
        <v>0</v>
      </c>
      <c r="AC51" s="39">
        <f>'Setoran 3'!K51</f>
        <v>0</v>
      </c>
      <c r="AD51" s="19">
        <f t="shared" si="16"/>
        <v>0</v>
      </c>
      <c r="AE51" s="19">
        <f t="shared" si="17"/>
        <v>0</v>
      </c>
      <c r="AF51" s="38">
        <f>'Setoran 3'!L51</f>
        <v>0</v>
      </c>
      <c r="AG51" s="19">
        <f t="shared" si="18"/>
        <v>0</v>
      </c>
      <c r="AH51" s="19">
        <f t="shared" si="19"/>
        <v>0</v>
      </c>
      <c r="AI51" s="38">
        <f>'Setoran 3'!M51</f>
        <v>0</v>
      </c>
      <c r="AJ51" s="19">
        <f t="shared" si="20"/>
        <v>0</v>
      </c>
      <c r="AK51" s="19">
        <f t="shared" si="21"/>
        <v>0</v>
      </c>
      <c r="AL51" s="38">
        <f>'Setoran 3'!N51</f>
        <v>0</v>
      </c>
      <c r="AM51" s="19">
        <f t="shared" si="22"/>
        <v>0</v>
      </c>
      <c r="AN51" s="19">
        <f t="shared" si="23"/>
        <v>0</v>
      </c>
      <c r="AO51" s="38">
        <f>'Setoran 3'!O51</f>
        <v>0</v>
      </c>
      <c r="AP51" s="19">
        <f t="shared" si="24"/>
        <v>0</v>
      </c>
      <c r="AQ51" s="19">
        <f t="shared" si="25"/>
        <v>0</v>
      </c>
      <c r="AR51" s="38">
        <f>'Setoran 3'!P51</f>
        <v>0</v>
      </c>
      <c r="AS51" s="19">
        <f t="shared" si="26"/>
        <v>0</v>
      </c>
      <c r="AT51" s="19">
        <f t="shared" si="27"/>
        <v>0</v>
      </c>
      <c r="AU51" s="38">
        <f>'Setoran 3'!Q51</f>
        <v>0</v>
      </c>
      <c r="AV51" s="19">
        <f t="shared" si="28"/>
        <v>0</v>
      </c>
      <c r="AW51" s="19">
        <f t="shared" si="29"/>
        <v>0</v>
      </c>
      <c r="AX51" s="39">
        <f t="shared" si="30"/>
        <v>0</v>
      </c>
      <c r="AY51" s="38">
        <f t="shared" si="31"/>
        <v>0</v>
      </c>
      <c r="AZ51" s="21">
        <f t="shared" si="32"/>
        <v>0</v>
      </c>
      <c r="BA51" s="22">
        <f t="shared" si="33"/>
        <v>0</v>
      </c>
    </row>
    <row r="52" spans="1:53" ht="14.5" customHeight="1" x14ac:dyDescent="0.2">
      <c r="A52" s="71">
        <v>2</v>
      </c>
      <c r="B52" s="53" t="s">
        <v>37</v>
      </c>
      <c r="C52" s="57">
        <v>1100</v>
      </c>
      <c r="D52" s="57">
        <v>1200</v>
      </c>
      <c r="E52" s="39">
        <f>'Setoran 3'!C52</f>
        <v>0</v>
      </c>
      <c r="F52" s="19">
        <f t="shared" si="0"/>
        <v>0</v>
      </c>
      <c r="G52" s="19">
        <f t="shared" si="1"/>
        <v>0</v>
      </c>
      <c r="H52" s="39">
        <f>'Setoran 3'!D52</f>
        <v>0</v>
      </c>
      <c r="I52" s="19">
        <f t="shared" si="2"/>
        <v>0</v>
      </c>
      <c r="J52" s="19">
        <f t="shared" si="3"/>
        <v>0</v>
      </c>
      <c r="K52" s="39">
        <f>'Setoran 3'!E52</f>
        <v>0</v>
      </c>
      <c r="L52" s="19">
        <f t="shared" si="4"/>
        <v>0</v>
      </c>
      <c r="M52" s="19">
        <f t="shared" si="5"/>
        <v>0</v>
      </c>
      <c r="N52" s="39">
        <f>'Setoran 3'!F52</f>
        <v>0</v>
      </c>
      <c r="O52" s="19">
        <f t="shared" si="6"/>
        <v>0</v>
      </c>
      <c r="P52" s="19">
        <f t="shared" si="7"/>
        <v>0</v>
      </c>
      <c r="Q52" s="39">
        <f>'Setoran 3'!G52</f>
        <v>0</v>
      </c>
      <c r="R52" s="19">
        <f t="shared" si="8"/>
        <v>0</v>
      </c>
      <c r="S52" s="19">
        <f t="shared" si="9"/>
        <v>0</v>
      </c>
      <c r="T52" s="39">
        <f>'Setoran 3'!H52</f>
        <v>0</v>
      </c>
      <c r="U52" s="19">
        <f t="shared" si="10"/>
        <v>0</v>
      </c>
      <c r="V52" s="19">
        <f t="shared" si="11"/>
        <v>0</v>
      </c>
      <c r="W52" s="39">
        <f>'Setoran 3'!I52</f>
        <v>0</v>
      </c>
      <c r="X52" s="19">
        <f t="shared" si="12"/>
        <v>0</v>
      </c>
      <c r="Y52" s="19">
        <f t="shared" si="13"/>
        <v>0</v>
      </c>
      <c r="Z52" s="39">
        <f>'Setoran 3'!J52</f>
        <v>0</v>
      </c>
      <c r="AA52" s="19">
        <f t="shared" si="14"/>
        <v>0</v>
      </c>
      <c r="AB52" s="19">
        <f t="shared" si="15"/>
        <v>0</v>
      </c>
      <c r="AC52" s="39">
        <f>'Setoran 3'!K52</f>
        <v>0</v>
      </c>
      <c r="AD52" s="19">
        <f t="shared" si="16"/>
        <v>0</v>
      </c>
      <c r="AE52" s="19">
        <f t="shared" si="17"/>
        <v>0</v>
      </c>
      <c r="AF52" s="38">
        <f>'Setoran 3'!L52</f>
        <v>0</v>
      </c>
      <c r="AG52" s="19">
        <f t="shared" si="18"/>
        <v>0</v>
      </c>
      <c r="AH52" s="19">
        <f t="shared" si="19"/>
        <v>0</v>
      </c>
      <c r="AI52" s="38">
        <f>'Setoran 3'!M52</f>
        <v>0</v>
      </c>
      <c r="AJ52" s="19">
        <f t="shared" si="20"/>
        <v>0</v>
      </c>
      <c r="AK52" s="19">
        <f t="shared" si="21"/>
        <v>0</v>
      </c>
      <c r="AL52" s="38">
        <f>'Setoran 3'!N52</f>
        <v>0</v>
      </c>
      <c r="AM52" s="19">
        <f t="shared" si="22"/>
        <v>0</v>
      </c>
      <c r="AN52" s="19">
        <f t="shared" si="23"/>
        <v>0</v>
      </c>
      <c r="AO52" s="38">
        <f>'Setoran 3'!O52</f>
        <v>0</v>
      </c>
      <c r="AP52" s="19">
        <f t="shared" si="24"/>
        <v>0</v>
      </c>
      <c r="AQ52" s="19">
        <f t="shared" si="25"/>
        <v>0</v>
      </c>
      <c r="AR52" s="38">
        <f>'Setoran 3'!P52</f>
        <v>0</v>
      </c>
      <c r="AS52" s="19">
        <f t="shared" si="26"/>
        <v>0</v>
      </c>
      <c r="AT52" s="19">
        <f t="shared" si="27"/>
        <v>0</v>
      </c>
      <c r="AU52" s="38">
        <f>'Setoran 3'!Q52</f>
        <v>0</v>
      </c>
      <c r="AV52" s="19">
        <f t="shared" si="28"/>
        <v>0</v>
      </c>
      <c r="AW52" s="19">
        <f t="shared" si="29"/>
        <v>0</v>
      </c>
      <c r="AX52" s="39">
        <f t="shared" si="30"/>
        <v>0</v>
      </c>
      <c r="AY52" s="38">
        <f t="shared" si="31"/>
        <v>0</v>
      </c>
      <c r="AZ52" s="21">
        <f t="shared" si="32"/>
        <v>0</v>
      </c>
      <c r="BA52" s="22">
        <f t="shared" si="33"/>
        <v>0</v>
      </c>
    </row>
    <row r="53" spans="1:53" ht="14.5" customHeight="1" x14ac:dyDescent="0.2">
      <c r="A53" s="71">
        <v>3</v>
      </c>
      <c r="B53" s="53" t="s">
        <v>38</v>
      </c>
      <c r="C53" s="57">
        <v>2300</v>
      </c>
      <c r="D53" s="57">
        <v>2500</v>
      </c>
      <c r="E53" s="39">
        <f>'Setoran 3'!C53</f>
        <v>0</v>
      </c>
      <c r="F53" s="19">
        <f t="shared" si="0"/>
        <v>0</v>
      </c>
      <c r="G53" s="19">
        <f t="shared" si="1"/>
        <v>0</v>
      </c>
      <c r="H53" s="39">
        <f>'Setoran 3'!D53</f>
        <v>0</v>
      </c>
      <c r="I53" s="19">
        <f t="shared" si="2"/>
        <v>0</v>
      </c>
      <c r="J53" s="19">
        <f t="shared" si="3"/>
        <v>0</v>
      </c>
      <c r="K53" s="39">
        <f>'Setoran 3'!E53</f>
        <v>0</v>
      </c>
      <c r="L53" s="19">
        <f t="shared" si="4"/>
        <v>0</v>
      </c>
      <c r="M53" s="19">
        <f t="shared" si="5"/>
        <v>0</v>
      </c>
      <c r="N53" s="39">
        <f>'Setoran 3'!F53</f>
        <v>0</v>
      </c>
      <c r="O53" s="19">
        <f t="shared" si="6"/>
        <v>0</v>
      </c>
      <c r="P53" s="19">
        <f t="shared" si="7"/>
        <v>0</v>
      </c>
      <c r="Q53" s="39">
        <f>'Setoran 3'!G53</f>
        <v>0</v>
      </c>
      <c r="R53" s="19">
        <f t="shared" si="8"/>
        <v>0</v>
      </c>
      <c r="S53" s="19">
        <f t="shared" si="9"/>
        <v>0</v>
      </c>
      <c r="T53" s="39">
        <f>'Setoran 3'!H53</f>
        <v>0</v>
      </c>
      <c r="U53" s="19">
        <f t="shared" si="10"/>
        <v>0</v>
      </c>
      <c r="V53" s="19">
        <f t="shared" si="11"/>
        <v>0</v>
      </c>
      <c r="W53" s="39">
        <f>'Setoran 3'!I53</f>
        <v>0</v>
      </c>
      <c r="X53" s="19">
        <f t="shared" si="12"/>
        <v>0</v>
      </c>
      <c r="Y53" s="19">
        <f t="shared" si="13"/>
        <v>0</v>
      </c>
      <c r="Z53" s="39">
        <f>'Setoran 3'!J53</f>
        <v>0</v>
      </c>
      <c r="AA53" s="19">
        <f t="shared" si="14"/>
        <v>0</v>
      </c>
      <c r="AB53" s="19">
        <f t="shared" si="15"/>
        <v>0</v>
      </c>
      <c r="AC53" s="39">
        <f>'Setoran 3'!K53</f>
        <v>0</v>
      </c>
      <c r="AD53" s="19">
        <f t="shared" si="16"/>
        <v>0</v>
      </c>
      <c r="AE53" s="19">
        <f t="shared" si="17"/>
        <v>0</v>
      </c>
      <c r="AF53" s="38">
        <f>'Setoran 3'!L53</f>
        <v>0</v>
      </c>
      <c r="AG53" s="19">
        <f t="shared" si="18"/>
        <v>0</v>
      </c>
      <c r="AH53" s="19">
        <f t="shared" si="19"/>
        <v>0</v>
      </c>
      <c r="AI53" s="38">
        <f>'Setoran 3'!M53</f>
        <v>0</v>
      </c>
      <c r="AJ53" s="19">
        <f t="shared" si="20"/>
        <v>0</v>
      </c>
      <c r="AK53" s="19">
        <f t="shared" si="21"/>
        <v>0</v>
      </c>
      <c r="AL53" s="38">
        <f>'Setoran 3'!N53</f>
        <v>0</v>
      </c>
      <c r="AM53" s="19">
        <f t="shared" si="22"/>
        <v>0</v>
      </c>
      <c r="AN53" s="19">
        <f t="shared" si="23"/>
        <v>0</v>
      </c>
      <c r="AO53" s="38">
        <f>'Setoran 3'!O53</f>
        <v>0</v>
      </c>
      <c r="AP53" s="19">
        <f t="shared" si="24"/>
        <v>0</v>
      </c>
      <c r="AQ53" s="19">
        <f t="shared" si="25"/>
        <v>0</v>
      </c>
      <c r="AR53" s="38">
        <f>'Setoran 3'!P53</f>
        <v>0</v>
      </c>
      <c r="AS53" s="19">
        <f t="shared" si="26"/>
        <v>0</v>
      </c>
      <c r="AT53" s="19">
        <f t="shared" si="27"/>
        <v>0</v>
      </c>
      <c r="AU53" s="38">
        <f>'Setoran 3'!Q53</f>
        <v>0</v>
      </c>
      <c r="AV53" s="19">
        <f t="shared" si="28"/>
        <v>0</v>
      </c>
      <c r="AW53" s="19">
        <f t="shared" si="29"/>
        <v>0</v>
      </c>
      <c r="AX53" s="39">
        <f t="shared" si="30"/>
        <v>0</v>
      </c>
      <c r="AY53" s="38">
        <f t="shared" si="31"/>
        <v>0</v>
      </c>
      <c r="AZ53" s="21">
        <f t="shared" si="32"/>
        <v>0</v>
      </c>
      <c r="BA53" s="22">
        <f t="shared" si="33"/>
        <v>0</v>
      </c>
    </row>
    <row r="54" spans="1:53" ht="14.5" customHeight="1" x14ac:dyDescent="0.2">
      <c r="A54" s="71">
        <v>4</v>
      </c>
      <c r="B54" s="53" t="s">
        <v>96</v>
      </c>
      <c r="C54" s="58">
        <v>200</v>
      </c>
      <c r="D54" s="58">
        <v>300</v>
      </c>
      <c r="E54" s="39">
        <f>'Setoran 3'!C54</f>
        <v>0</v>
      </c>
      <c r="F54" s="19">
        <f t="shared" si="0"/>
        <v>0</v>
      </c>
      <c r="G54" s="19">
        <f t="shared" si="1"/>
        <v>0</v>
      </c>
      <c r="H54" s="39">
        <f>'Setoran 3'!D54</f>
        <v>0</v>
      </c>
      <c r="I54" s="19">
        <f t="shared" si="2"/>
        <v>0</v>
      </c>
      <c r="J54" s="19">
        <f t="shared" si="3"/>
        <v>0</v>
      </c>
      <c r="K54" s="39">
        <f>'Setoran 3'!E54</f>
        <v>0</v>
      </c>
      <c r="L54" s="19">
        <f t="shared" si="4"/>
        <v>0</v>
      </c>
      <c r="M54" s="19">
        <f t="shared" si="5"/>
        <v>0</v>
      </c>
      <c r="N54" s="39">
        <f>'Setoran 3'!F54</f>
        <v>0</v>
      </c>
      <c r="O54" s="19">
        <f t="shared" si="6"/>
        <v>0</v>
      </c>
      <c r="P54" s="19">
        <f t="shared" si="7"/>
        <v>0</v>
      </c>
      <c r="Q54" s="39">
        <f>'Setoran 3'!G54</f>
        <v>0</v>
      </c>
      <c r="R54" s="19">
        <f t="shared" si="8"/>
        <v>0</v>
      </c>
      <c r="S54" s="19">
        <f t="shared" si="9"/>
        <v>0</v>
      </c>
      <c r="T54" s="39">
        <f>'Setoran 3'!H54</f>
        <v>0</v>
      </c>
      <c r="U54" s="19">
        <f t="shared" si="10"/>
        <v>0</v>
      </c>
      <c r="V54" s="19">
        <f t="shared" si="11"/>
        <v>0</v>
      </c>
      <c r="W54" s="39">
        <f>'Setoran 3'!I54</f>
        <v>0</v>
      </c>
      <c r="X54" s="19">
        <f t="shared" si="12"/>
        <v>0</v>
      </c>
      <c r="Y54" s="19">
        <f t="shared" si="13"/>
        <v>0</v>
      </c>
      <c r="Z54" s="39">
        <f>'Setoran 3'!J54</f>
        <v>0</v>
      </c>
      <c r="AA54" s="19">
        <f t="shared" si="14"/>
        <v>0</v>
      </c>
      <c r="AB54" s="19">
        <f t="shared" si="15"/>
        <v>0</v>
      </c>
      <c r="AC54" s="39">
        <f>'Setoran 3'!K54</f>
        <v>0</v>
      </c>
      <c r="AD54" s="19">
        <f t="shared" si="16"/>
        <v>0</v>
      </c>
      <c r="AE54" s="19">
        <f t="shared" si="17"/>
        <v>0</v>
      </c>
      <c r="AF54" s="38">
        <f>'Setoran 3'!L54</f>
        <v>0</v>
      </c>
      <c r="AG54" s="19">
        <f t="shared" si="18"/>
        <v>0</v>
      </c>
      <c r="AH54" s="19">
        <f t="shared" si="19"/>
        <v>0</v>
      </c>
      <c r="AI54" s="38">
        <f>'Setoran 3'!M54</f>
        <v>0</v>
      </c>
      <c r="AJ54" s="19">
        <f t="shared" si="20"/>
        <v>0</v>
      </c>
      <c r="AK54" s="19">
        <f t="shared" si="21"/>
        <v>0</v>
      </c>
      <c r="AL54" s="38">
        <f>'Setoran 3'!N54</f>
        <v>0</v>
      </c>
      <c r="AM54" s="19">
        <f t="shared" si="22"/>
        <v>0</v>
      </c>
      <c r="AN54" s="19">
        <f t="shared" si="23"/>
        <v>0</v>
      </c>
      <c r="AO54" s="38">
        <f>'Setoran 3'!O54</f>
        <v>0</v>
      </c>
      <c r="AP54" s="19">
        <f t="shared" si="24"/>
        <v>0</v>
      </c>
      <c r="AQ54" s="19">
        <f t="shared" si="25"/>
        <v>0</v>
      </c>
      <c r="AR54" s="38">
        <f>'Setoran 3'!P54</f>
        <v>0</v>
      </c>
      <c r="AS54" s="19">
        <f t="shared" si="26"/>
        <v>0</v>
      </c>
      <c r="AT54" s="19">
        <f t="shared" si="27"/>
        <v>0</v>
      </c>
      <c r="AU54" s="38">
        <f>'Setoran 3'!Q54</f>
        <v>0</v>
      </c>
      <c r="AV54" s="19">
        <f t="shared" si="28"/>
        <v>0</v>
      </c>
      <c r="AW54" s="19">
        <f t="shared" si="29"/>
        <v>0</v>
      </c>
      <c r="AX54" s="39">
        <f t="shared" si="30"/>
        <v>0</v>
      </c>
      <c r="AY54" s="38">
        <f t="shared" si="31"/>
        <v>0</v>
      </c>
      <c r="AZ54" s="21">
        <f t="shared" si="32"/>
        <v>0</v>
      </c>
      <c r="BA54" s="22">
        <f t="shared" si="33"/>
        <v>0</v>
      </c>
    </row>
    <row r="55" spans="1:53" ht="14.5" customHeight="1" x14ac:dyDescent="0.2">
      <c r="A55" s="71">
        <v>5</v>
      </c>
      <c r="B55" s="53" t="s">
        <v>97</v>
      </c>
      <c r="C55" s="57">
        <v>8500</v>
      </c>
      <c r="D55" s="57">
        <v>9000</v>
      </c>
      <c r="E55" s="39">
        <f>'Setoran 3'!C55</f>
        <v>0</v>
      </c>
      <c r="F55" s="19">
        <f t="shared" si="0"/>
        <v>0</v>
      </c>
      <c r="G55" s="19">
        <f t="shared" si="1"/>
        <v>0</v>
      </c>
      <c r="H55" s="39">
        <f>'Setoran 3'!D55</f>
        <v>0</v>
      </c>
      <c r="I55" s="19">
        <f t="shared" si="2"/>
        <v>0</v>
      </c>
      <c r="J55" s="19">
        <f t="shared" si="3"/>
        <v>0</v>
      </c>
      <c r="K55" s="39">
        <f>'Setoran 3'!E55</f>
        <v>0</v>
      </c>
      <c r="L55" s="19">
        <f t="shared" si="4"/>
        <v>0</v>
      </c>
      <c r="M55" s="19">
        <f t="shared" si="5"/>
        <v>0</v>
      </c>
      <c r="N55" s="39">
        <f>'Setoran 3'!F55</f>
        <v>0</v>
      </c>
      <c r="O55" s="19">
        <f t="shared" si="6"/>
        <v>0</v>
      </c>
      <c r="P55" s="19">
        <f t="shared" si="7"/>
        <v>0</v>
      </c>
      <c r="Q55" s="39">
        <f>'Setoran 3'!G55</f>
        <v>0</v>
      </c>
      <c r="R55" s="19">
        <f t="shared" si="8"/>
        <v>0</v>
      </c>
      <c r="S55" s="19">
        <f t="shared" si="9"/>
        <v>0</v>
      </c>
      <c r="T55" s="39">
        <f>'Setoran 3'!H55</f>
        <v>0</v>
      </c>
      <c r="U55" s="19">
        <f t="shared" si="10"/>
        <v>0</v>
      </c>
      <c r="V55" s="19">
        <f t="shared" si="11"/>
        <v>0</v>
      </c>
      <c r="W55" s="39">
        <f>'Setoran 3'!I55</f>
        <v>0</v>
      </c>
      <c r="X55" s="19">
        <f t="shared" si="12"/>
        <v>0</v>
      </c>
      <c r="Y55" s="19">
        <f t="shared" si="13"/>
        <v>0</v>
      </c>
      <c r="Z55" s="39">
        <f>'Setoran 3'!J55</f>
        <v>0</v>
      </c>
      <c r="AA55" s="19">
        <f t="shared" si="14"/>
        <v>0</v>
      </c>
      <c r="AB55" s="19">
        <f t="shared" si="15"/>
        <v>0</v>
      </c>
      <c r="AC55" s="39">
        <f>'Setoran 3'!K55</f>
        <v>0</v>
      </c>
      <c r="AD55" s="19">
        <f t="shared" si="16"/>
        <v>0</v>
      </c>
      <c r="AE55" s="19">
        <f t="shared" si="17"/>
        <v>0</v>
      </c>
      <c r="AF55" s="38">
        <f>'Setoran 3'!L55</f>
        <v>0</v>
      </c>
      <c r="AG55" s="19">
        <f t="shared" si="18"/>
        <v>0</v>
      </c>
      <c r="AH55" s="19">
        <f t="shared" si="19"/>
        <v>0</v>
      </c>
      <c r="AI55" s="38">
        <f>'Setoran 3'!M55</f>
        <v>0</v>
      </c>
      <c r="AJ55" s="19">
        <f t="shared" si="20"/>
        <v>0</v>
      </c>
      <c r="AK55" s="19">
        <f t="shared" si="21"/>
        <v>0</v>
      </c>
      <c r="AL55" s="38">
        <f>'Setoran 3'!N55</f>
        <v>0</v>
      </c>
      <c r="AM55" s="19">
        <f t="shared" si="22"/>
        <v>0</v>
      </c>
      <c r="AN55" s="19">
        <f t="shared" si="23"/>
        <v>0</v>
      </c>
      <c r="AO55" s="38">
        <f>'Setoran 3'!O55</f>
        <v>0</v>
      </c>
      <c r="AP55" s="19">
        <f t="shared" si="24"/>
        <v>0</v>
      </c>
      <c r="AQ55" s="19">
        <f t="shared" si="25"/>
        <v>0</v>
      </c>
      <c r="AR55" s="38">
        <f>'Setoran 3'!P55</f>
        <v>0</v>
      </c>
      <c r="AS55" s="19">
        <f t="shared" si="26"/>
        <v>0</v>
      </c>
      <c r="AT55" s="19">
        <f t="shared" si="27"/>
        <v>0</v>
      </c>
      <c r="AU55" s="38">
        <f>'Setoran 3'!Q55</f>
        <v>0</v>
      </c>
      <c r="AV55" s="19">
        <f t="shared" si="28"/>
        <v>0</v>
      </c>
      <c r="AW55" s="19">
        <f t="shared" si="29"/>
        <v>0</v>
      </c>
      <c r="AX55" s="39">
        <f t="shared" si="30"/>
        <v>0</v>
      </c>
      <c r="AY55" s="38">
        <f t="shared" si="31"/>
        <v>0</v>
      </c>
      <c r="AZ55" s="21">
        <f t="shared" si="32"/>
        <v>0</v>
      </c>
      <c r="BA55" s="22">
        <f t="shared" si="33"/>
        <v>0</v>
      </c>
    </row>
    <row r="56" spans="1:53" ht="14.5" customHeight="1" x14ac:dyDescent="0.2">
      <c r="A56" s="71">
        <v>6</v>
      </c>
      <c r="B56" s="53" t="s">
        <v>39</v>
      </c>
      <c r="C56" s="57">
        <v>9000</v>
      </c>
      <c r="D56" s="57">
        <v>10000</v>
      </c>
      <c r="E56" s="39">
        <f>'Setoran 3'!C56</f>
        <v>0</v>
      </c>
      <c r="F56" s="19">
        <f t="shared" si="0"/>
        <v>0</v>
      </c>
      <c r="G56" s="19">
        <f t="shared" si="1"/>
        <v>0</v>
      </c>
      <c r="H56" s="39">
        <f>'Setoran 3'!D56</f>
        <v>0</v>
      </c>
      <c r="I56" s="19">
        <f t="shared" si="2"/>
        <v>0</v>
      </c>
      <c r="J56" s="19">
        <f t="shared" si="3"/>
        <v>0</v>
      </c>
      <c r="K56" s="39">
        <f>'Setoran 3'!E56</f>
        <v>0</v>
      </c>
      <c r="L56" s="19">
        <f t="shared" si="4"/>
        <v>0</v>
      </c>
      <c r="M56" s="19">
        <f t="shared" si="5"/>
        <v>0</v>
      </c>
      <c r="N56" s="39">
        <f>'Setoran 3'!F56</f>
        <v>0</v>
      </c>
      <c r="O56" s="19">
        <f t="shared" si="6"/>
        <v>0</v>
      </c>
      <c r="P56" s="19">
        <f t="shared" si="7"/>
        <v>0</v>
      </c>
      <c r="Q56" s="39">
        <f>'Setoran 3'!G56</f>
        <v>0</v>
      </c>
      <c r="R56" s="19">
        <f t="shared" si="8"/>
        <v>0</v>
      </c>
      <c r="S56" s="19">
        <f t="shared" si="9"/>
        <v>0</v>
      </c>
      <c r="T56" s="39">
        <f>'Setoran 3'!H56</f>
        <v>0</v>
      </c>
      <c r="U56" s="19">
        <f t="shared" si="10"/>
        <v>0</v>
      </c>
      <c r="V56" s="19">
        <f t="shared" si="11"/>
        <v>0</v>
      </c>
      <c r="W56" s="39">
        <f>'Setoran 3'!I56</f>
        <v>0</v>
      </c>
      <c r="X56" s="19">
        <f t="shared" si="12"/>
        <v>0</v>
      </c>
      <c r="Y56" s="19">
        <f t="shared" si="13"/>
        <v>0</v>
      </c>
      <c r="Z56" s="39">
        <f>'Setoran 3'!J56</f>
        <v>0</v>
      </c>
      <c r="AA56" s="19">
        <f t="shared" si="14"/>
        <v>0</v>
      </c>
      <c r="AB56" s="19">
        <f t="shared" si="15"/>
        <v>0</v>
      </c>
      <c r="AC56" s="39">
        <f>'Setoran 3'!K56</f>
        <v>0</v>
      </c>
      <c r="AD56" s="19">
        <f t="shared" si="16"/>
        <v>0</v>
      </c>
      <c r="AE56" s="19">
        <f t="shared" si="17"/>
        <v>0</v>
      </c>
      <c r="AF56" s="38">
        <f>'Setoran 3'!L56</f>
        <v>0</v>
      </c>
      <c r="AG56" s="19">
        <f t="shared" si="18"/>
        <v>0</v>
      </c>
      <c r="AH56" s="19">
        <f t="shared" si="19"/>
        <v>0</v>
      </c>
      <c r="AI56" s="38">
        <f>'Setoran 3'!M56</f>
        <v>0</v>
      </c>
      <c r="AJ56" s="19">
        <f t="shared" si="20"/>
        <v>0</v>
      </c>
      <c r="AK56" s="19">
        <f t="shared" si="21"/>
        <v>0</v>
      </c>
      <c r="AL56" s="38">
        <f>'Setoran 3'!N56</f>
        <v>0</v>
      </c>
      <c r="AM56" s="19">
        <f t="shared" si="22"/>
        <v>0</v>
      </c>
      <c r="AN56" s="19">
        <f t="shared" si="23"/>
        <v>0</v>
      </c>
      <c r="AO56" s="38">
        <f>'Setoran 3'!O56</f>
        <v>0</v>
      </c>
      <c r="AP56" s="19">
        <f t="shared" si="24"/>
        <v>0</v>
      </c>
      <c r="AQ56" s="19">
        <f t="shared" si="25"/>
        <v>0</v>
      </c>
      <c r="AR56" s="38">
        <f>'Setoran 3'!P56</f>
        <v>0</v>
      </c>
      <c r="AS56" s="19">
        <f t="shared" si="26"/>
        <v>0</v>
      </c>
      <c r="AT56" s="19">
        <f t="shared" si="27"/>
        <v>0</v>
      </c>
      <c r="AU56" s="38">
        <f>'Setoran 3'!Q56</f>
        <v>0</v>
      </c>
      <c r="AV56" s="19">
        <f t="shared" si="28"/>
        <v>0</v>
      </c>
      <c r="AW56" s="19">
        <f t="shared" si="29"/>
        <v>0</v>
      </c>
      <c r="AX56" s="39">
        <f t="shared" si="30"/>
        <v>0</v>
      </c>
      <c r="AY56" s="38">
        <f t="shared" si="31"/>
        <v>0</v>
      </c>
      <c r="AZ56" s="21">
        <f t="shared" si="32"/>
        <v>0</v>
      </c>
      <c r="BA56" s="22">
        <f t="shared" si="33"/>
        <v>0</v>
      </c>
    </row>
    <row r="57" spans="1:53" ht="14.5" customHeight="1" x14ac:dyDescent="0.2">
      <c r="A57" s="71">
        <v>7</v>
      </c>
      <c r="B57" s="53" t="s">
        <v>40</v>
      </c>
      <c r="C57" s="57">
        <v>28000</v>
      </c>
      <c r="D57" s="57">
        <v>30000</v>
      </c>
      <c r="E57" s="39">
        <f>'Setoran 3'!C57</f>
        <v>0</v>
      </c>
      <c r="F57" s="19">
        <f t="shared" si="0"/>
        <v>0</v>
      </c>
      <c r="G57" s="19">
        <f t="shared" si="1"/>
        <v>0</v>
      </c>
      <c r="H57" s="39">
        <f>'Setoran 3'!D57</f>
        <v>0</v>
      </c>
      <c r="I57" s="19">
        <f t="shared" si="2"/>
        <v>0</v>
      </c>
      <c r="J57" s="19">
        <f t="shared" si="3"/>
        <v>0</v>
      </c>
      <c r="K57" s="39">
        <f>'Setoran 3'!E57</f>
        <v>0</v>
      </c>
      <c r="L57" s="19">
        <f t="shared" si="4"/>
        <v>0</v>
      </c>
      <c r="M57" s="19">
        <f t="shared" si="5"/>
        <v>0</v>
      </c>
      <c r="N57" s="39">
        <f>'Setoran 3'!F57</f>
        <v>0</v>
      </c>
      <c r="O57" s="19">
        <f t="shared" si="6"/>
        <v>0</v>
      </c>
      <c r="P57" s="19">
        <f t="shared" si="7"/>
        <v>0</v>
      </c>
      <c r="Q57" s="39">
        <f>'Setoran 3'!G57</f>
        <v>0</v>
      </c>
      <c r="R57" s="19">
        <f t="shared" si="8"/>
        <v>0</v>
      </c>
      <c r="S57" s="19">
        <f t="shared" si="9"/>
        <v>0</v>
      </c>
      <c r="T57" s="39">
        <f>'Setoran 3'!H57</f>
        <v>0</v>
      </c>
      <c r="U57" s="19">
        <f t="shared" si="10"/>
        <v>0</v>
      </c>
      <c r="V57" s="19">
        <f t="shared" si="11"/>
        <v>0</v>
      </c>
      <c r="W57" s="39">
        <f>'Setoran 3'!I57</f>
        <v>0</v>
      </c>
      <c r="X57" s="19">
        <f t="shared" si="12"/>
        <v>0</v>
      </c>
      <c r="Y57" s="19">
        <f t="shared" si="13"/>
        <v>0</v>
      </c>
      <c r="Z57" s="39">
        <f>'Setoran 3'!J57</f>
        <v>0</v>
      </c>
      <c r="AA57" s="19">
        <f t="shared" si="14"/>
        <v>0</v>
      </c>
      <c r="AB57" s="19">
        <f t="shared" si="15"/>
        <v>0</v>
      </c>
      <c r="AC57" s="39">
        <f>'Setoran 3'!K57</f>
        <v>0</v>
      </c>
      <c r="AD57" s="19">
        <f t="shared" si="16"/>
        <v>0</v>
      </c>
      <c r="AE57" s="19">
        <f t="shared" si="17"/>
        <v>0</v>
      </c>
      <c r="AF57" s="38">
        <f>'Setoran 3'!L57</f>
        <v>0</v>
      </c>
      <c r="AG57" s="19">
        <f t="shared" si="18"/>
        <v>0</v>
      </c>
      <c r="AH57" s="19">
        <f t="shared" si="19"/>
        <v>0</v>
      </c>
      <c r="AI57" s="38">
        <f>'Setoran 3'!M57</f>
        <v>0</v>
      </c>
      <c r="AJ57" s="19">
        <f t="shared" si="20"/>
        <v>0</v>
      </c>
      <c r="AK57" s="19">
        <f t="shared" si="21"/>
        <v>0</v>
      </c>
      <c r="AL57" s="38">
        <f>'Setoran 3'!N57</f>
        <v>0</v>
      </c>
      <c r="AM57" s="19">
        <f t="shared" si="22"/>
        <v>0</v>
      </c>
      <c r="AN57" s="19">
        <f t="shared" si="23"/>
        <v>0</v>
      </c>
      <c r="AO57" s="38">
        <f>'Setoran 3'!O57</f>
        <v>0</v>
      </c>
      <c r="AP57" s="19">
        <f t="shared" si="24"/>
        <v>0</v>
      </c>
      <c r="AQ57" s="19">
        <f t="shared" si="25"/>
        <v>0</v>
      </c>
      <c r="AR57" s="38">
        <f>'Setoran 3'!P57</f>
        <v>0</v>
      </c>
      <c r="AS57" s="19">
        <f t="shared" si="26"/>
        <v>0</v>
      </c>
      <c r="AT57" s="19">
        <f t="shared" si="27"/>
        <v>0</v>
      </c>
      <c r="AU57" s="38">
        <f>'Setoran 3'!Q57</f>
        <v>0</v>
      </c>
      <c r="AV57" s="19">
        <f t="shared" si="28"/>
        <v>0</v>
      </c>
      <c r="AW57" s="19">
        <f t="shared" si="29"/>
        <v>0</v>
      </c>
      <c r="AX57" s="39">
        <f t="shared" si="30"/>
        <v>0</v>
      </c>
      <c r="AY57" s="38">
        <f t="shared" si="31"/>
        <v>0</v>
      </c>
      <c r="AZ57" s="21">
        <f t="shared" si="32"/>
        <v>0</v>
      </c>
      <c r="BA57" s="22">
        <f t="shared" si="33"/>
        <v>0</v>
      </c>
    </row>
    <row r="58" spans="1:53" ht="14.5" customHeight="1" x14ac:dyDescent="0.2">
      <c r="A58" s="71">
        <v>8</v>
      </c>
      <c r="B58" s="53" t="s">
        <v>41</v>
      </c>
      <c r="C58" s="58">
        <v>600</v>
      </c>
      <c r="D58" s="58">
        <v>800</v>
      </c>
      <c r="E58" s="39">
        <f>'Setoran 3'!C58</f>
        <v>0</v>
      </c>
      <c r="F58" s="19">
        <f t="shared" si="0"/>
        <v>0</v>
      </c>
      <c r="G58" s="19">
        <f t="shared" si="1"/>
        <v>0</v>
      </c>
      <c r="H58" s="39">
        <f>'Setoran 3'!D58</f>
        <v>0</v>
      </c>
      <c r="I58" s="19">
        <f t="shared" si="2"/>
        <v>0</v>
      </c>
      <c r="J58" s="19">
        <f t="shared" si="3"/>
        <v>0</v>
      </c>
      <c r="K58" s="39">
        <f>'Setoran 3'!E58</f>
        <v>0</v>
      </c>
      <c r="L58" s="19">
        <f t="shared" si="4"/>
        <v>0</v>
      </c>
      <c r="M58" s="19">
        <f t="shared" si="5"/>
        <v>0</v>
      </c>
      <c r="N58" s="39">
        <f>'Setoran 3'!F58</f>
        <v>0</v>
      </c>
      <c r="O58" s="19">
        <f t="shared" si="6"/>
        <v>0</v>
      </c>
      <c r="P58" s="19">
        <f t="shared" si="7"/>
        <v>0</v>
      </c>
      <c r="Q58" s="39">
        <f>'Setoran 3'!G58</f>
        <v>0</v>
      </c>
      <c r="R58" s="19">
        <f t="shared" si="8"/>
        <v>0</v>
      </c>
      <c r="S58" s="19">
        <f t="shared" si="9"/>
        <v>0</v>
      </c>
      <c r="T58" s="39">
        <f>'Setoran 3'!H58</f>
        <v>0</v>
      </c>
      <c r="U58" s="19">
        <f t="shared" si="10"/>
        <v>0</v>
      </c>
      <c r="V58" s="19">
        <f t="shared" si="11"/>
        <v>0</v>
      </c>
      <c r="W58" s="39">
        <f>'Setoran 3'!I58</f>
        <v>0</v>
      </c>
      <c r="X58" s="19">
        <f t="shared" si="12"/>
        <v>0</v>
      </c>
      <c r="Y58" s="19">
        <f t="shared" si="13"/>
        <v>0</v>
      </c>
      <c r="Z58" s="39">
        <f>'Setoran 3'!J58</f>
        <v>0</v>
      </c>
      <c r="AA58" s="19">
        <f t="shared" si="14"/>
        <v>0</v>
      </c>
      <c r="AB58" s="19">
        <f t="shared" si="15"/>
        <v>0</v>
      </c>
      <c r="AC58" s="39">
        <f>'Setoran 3'!K58</f>
        <v>0</v>
      </c>
      <c r="AD58" s="19">
        <f t="shared" si="16"/>
        <v>0</v>
      </c>
      <c r="AE58" s="19">
        <f t="shared" si="17"/>
        <v>0</v>
      </c>
      <c r="AF58" s="38">
        <f>'Setoran 3'!L58</f>
        <v>0</v>
      </c>
      <c r="AG58" s="19">
        <f t="shared" si="18"/>
        <v>0</v>
      </c>
      <c r="AH58" s="19">
        <f t="shared" si="19"/>
        <v>0</v>
      </c>
      <c r="AI58" s="38">
        <f>'Setoran 3'!M58</f>
        <v>0</v>
      </c>
      <c r="AJ58" s="19">
        <f t="shared" si="20"/>
        <v>0</v>
      </c>
      <c r="AK58" s="19">
        <f t="shared" si="21"/>
        <v>0</v>
      </c>
      <c r="AL58" s="38">
        <f>'Setoran 3'!N58</f>
        <v>0</v>
      </c>
      <c r="AM58" s="19">
        <f t="shared" si="22"/>
        <v>0</v>
      </c>
      <c r="AN58" s="19">
        <f t="shared" si="23"/>
        <v>0</v>
      </c>
      <c r="AO58" s="38">
        <f>'Setoran 3'!O58</f>
        <v>0</v>
      </c>
      <c r="AP58" s="19">
        <f t="shared" si="24"/>
        <v>0</v>
      </c>
      <c r="AQ58" s="19">
        <f t="shared" si="25"/>
        <v>0</v>
      </c>
      <c r="AR58" s="38">
        <f>'Setoran 3'!P58</f>
        <v>0</v>
      </c>
      <c r="AS58" s="19">
        <f t="shared" si="26"/>
        <v>0</v>
      </c>
      <c r="AT58" s="19">
        <f t="shared" si="27"/>
        <v>0</v>
      </c>
      <c r="AU58" s="38">
        <f>'Setoran 3'!Q58</f>
        <v>0</v>
      </c>
      <c r="AV58" s="19">
        <f t="shared" si="28"/>
        <v>0</v>
      </c>
      <c r="AW58" s="19">
        <f t="shared" si="29"/>
        <v>0</v>
      </c>
      <c r="AX58" s="39">
        <f t="shared" si="30"/>
        <v>0</v>
      </c>
      <c r="AY58" s="38">
        <f t="shared" si="31"/>
        <v>0</v>
      </c>
      <c r="AZ58" s="21">
        <f t="shared" si="32"/>
        <v>0</v>
      </c>
      <c r="BA58" s="22">
        <f t="shared" si="33"/>
        <v>0</v>
      </c>
    </row>
    <row r="59" spans="1:53" ht="14.5" customHeight="1" x14ac:dyDescent="0.2">
      <c r="A59" s="51" t="s">
        <v>42</v>
      </c>
      <c r="B59" s="5"/>
      <c r="C59" s="40"/>
      <c r="D59" s="42"/>
      <c r="E59" s="39"/>
      <c r="F59" s="19"/>
      <c r="G59" s="19"/>
      <c r="H59" s="39"/>
      <c r="I59" s="19"/>
      <c r="J59" s="19"/>
      <c r="K59" s="39"/>
      <c r="L59" s="19"/>
      <c r="M59" s="19"/>
      <c r="N59" s="39"/>
      <c r="O59" s="19"/>
      <c r="P59" s="19"/>
      <c r="Q59" s="39"/>
      <c r="R59" s="19"/>
      <c r="S59" s="19"/>
      <c r="T59" s="39"/>
      <c r="U59" s="19"/>
      <c r="V59" s="19"/>
      <c r="W59" s="39"/>
      <c r="X59" s="19"/>
      <c r="Y59" s="19"/>
      <c r="Z59" s="39"/>
      <c r="AA59" s="19"/>
      <c r="AB59" s="19"/>
      <c r="AC59" s="39"/>
      <c r="AD59" s="19"/>
      <c r="AE59" s="19"/>
      <c r="AF59" s="38"/>
      <c r="AG59" s="19"/>
      <c r="AH59" s="19"/>
      <c r="AI59" s="38"/>
      <c r="AJ59" s="19"/>
      <c r="AK59" s="19"/>
      <c r="AL59" s="38"/>
      <c r="AM59" s="19"/>
      <c r="AN59" s="19"/>
      <c r="AO59" s="38"/>
      <c r="AP59" s="19"/>
      <c r="AQ59" s="19"/>
      <c r="AR59" s="38"/>
      <c r="AS59" s="19"/>
      <c r="AT59" s="19"/>
      <c r="AU59" s="38"/>
      <c r="AV59" s="19"/>
      <c r="AW59" s="19"/>
      <c r="AX59" s="39"/>
      <c r="AY59" s="38"/>
      <c r="AZ59" s="21"/>
      <c r="BA59" s="22"/>
    </row>
    <row r="60" spans="1:53" ht="14.5" customHeight="1" x14ac:dyDescent="0.2">
      <c r="A60" s="23">
        <v>1</v>
      </c>
      <c r="B60" s="25" t="s">
        <v>43</v>
      </c>
      <c r="C60" s="58">
        <v>700</v>
      </c>
      <c r="D60" s="58">
        <v>800</v>
      </c>
      <c r="E60" s="39">
        <f>'Setoran 3'!C60</f>
        <v>0</v>
      </c>
      <c r="F60" s="19">
        <f t="shared" si="0"/>
        <v>0</v>
      </c>
      <c r="G60" s="19">
        <f t="shared" si="1"/>
        <v>0</v>
      </c>
      <c r="H60" s="39">
        <f>'Setoran 3'!D60</f>
        <v>0</v>
      </c>
      <c r="I60" s="19">
        <f t="shared" si="2"/>
        <v>0</v>
      </c>
      <c r="J60" s="19">
        <f t="shared" si="3"/>
        <v>0</v>
      </c>
      <c r="K60" s="39">
        <f>'Setoran 3'!E60</f>
        <v>0</v>
      </c>
      <c r="L60" s="19">
        <f t="shared" si="4"/>
        <v>0</v>
      </c>
      <c r="M60" s="19">
        <f t="shared" si="5"/>
        <v>0</v>
      </c>
      <c r="N60" s="39">
        <f>'Setoran 3'!F60</f>
        <v>0</v>
      </c>
      <c r="O60" s="19">
        <f t="shared" si="6"/>
        <v>0</v>
      </c>
      <c r="P60" s="19">
        <f t="shared" si="7"/>
        <v>0</v>
      </c>
      <c r="Q60" s="39">
        <f>'Setoran 3'!G60</f>
        <v>0</v>
      </c>
      <c r="R60" s="19">
        <f t="shared" si="8"/>
        <v>0</v>
      </c>
      <c r="S60" s="19">
        <f t="shared" si="9"/>
        <v>0</v>
      </c>
      <c r="T60" s="39">
        <f>'Setoran 3'!H60</f>
        <v>0</v>
      </c>
      <c r="U60" s="19">
        <f t="shared" si="10"/>
        <v>0</v>
      </c>
      <c r="V60" s="19">
        <f t="shared" si="11"/>
        <v>0</v>
      </c>
      <c r="W60" s="39">
        <f>'Setoran 3'!I60</f>
        <v>0</v>
      </c>
      <c r="X60" s="19">
        <f t="shared" si="12"/>
        <v>0</v>
      </c>
      <c r="Y60" s="19">
        <f t="shared" si="13"/>
        <v>0</v>
      </c>
      <c r="Z60" s="39">
        <f>'Setoran 3'!J60</f>
        <v>0</v>
      </c>
      <c r="AA60" s="19">
        <f t="shared" si="14"/>
        <v>0</v>
      </c>
      <c r="AB60" s="19">
        <f t="shared" si="15"/>
        <v>0</v>
      </c>
      <c r="AC60" s="39">
        <f>'Setoran 3'!K60</f>
        <v>0</v>
      </c>
      <c r="AD60" s="19">
        <f t="shared" si="16"/>
        <v>0</v>
      </c>
      <c r="AE60" s="19">
        <f t="shared" si="17"/>
        <v>0</v>
      </c>
      <c r="AF60" s="38">
        <f>'Setoran 3'!L60</f>
        <v>0</v>
      </c>
      <c r="AG60" s="19">
        <f t="shared" si="18"/>
        <v>0</v>
      </c>
      <c r="AH60" s="19">
        <f t="shared" si="19"/>
        <v>0</v>
      </c>
      <c r="AI60" s="38">
        <f>'Setoran 3'!M60</f>
        <v>0</v>
      </c>
      <c r="AJ60" s="19">
        <f t="shared" si="20"/>
        <v>0</v>
      </c>
      <c r="AK60" s="19">
        <f t="shared" si="21"/>
        <v>0</v>
      </c>
      <c r="AL60" s="38">
        <f>'Setoran 3'!N60</f>
        <v>0</v>
      </c>
      <c r="AM60" s="19">
        <f t="shared" si="22"/>
        <v>0</v>
      </c>
      <c r="AN60" s="19">
        <f t="shared" si="23"/>
        <v>0</v>
      </c>
      <c r="AO60" s="38">
        <f>'Setoran 3'!O60</f>
        <v>0</v>
      </c>
      <c r="AP60" s="19">
        <f t="shared" si="24"/>
        <v>0</v>
      </c>
      <c r="AQ60" s="19">
        <f t="shared" si="25"/>
        <v>0</v>
      </c>
      <c r="AR60" s="38">
        <f>'Setoran 3'!P60</f>
        <v>0</v>
      </c>
      <c r="AS60" s="19">
        <f t="shared" si="26"/>
        <v>0</v>
      </c>
      <c r="AT60" s="19">
        <f t="shared" si="27"/>
        <v>0</v>
      </c>
      <c r="AU60" s="38">
        <f>'Setoran 3'!Q60</f>
        <v>0</v>
      </c>
      <c r="AV60" s="19">
        <f t="shared" si="28"/>
        <v>0</v>
      </c>
      <c r="AW60" s="19">
        <f t="shared" si="29"/>
        <v>0</v>
      </c>
      <c r="AX60" s="39">
        <f t="shared" si="30"/>
        <v>0</v>
      </c>
      <c r="AY60" s="38">
        <f t="shared" si="31"/>
        <v>0</v>
      </c>
      <c r="AZ60" s="21">
        <f t="shared" si="32"/>
        <v>0</v>
      </c>
      <c r="BA60" s="22">
        <f t="shared" si="33"/>
        <v>0</v>
      </c>
    </row>
    <row r="61" spans="1:53" ht="14.5" customHeight="1" x14ac:dyDescent="0.2">
      <c r="A61" s="23">
        <v>2</v>
      </c>
      <c r="B61" s="25" t="s">
        <v>44</v>
      </c>
      <c r="C61" s="58">
        <v>150</v>
      </c>
      <c r="D61" s="58">
        <v>200</v>
      </c>
      <c r="E61" s="39">
        <f>'Setoran 3'!C61</f>
        <v>0</v>
      </c>
      <c r="F61" s="19">
        <f t="shared" si="0"/>
        <v>0</v>
      </c>
      <c r="G61" s="19">
        <f t="shared" si="1"/>
        <v>0</v>
      </c>
      <c r="H61" s="39">
        <f>'Setoran 3'!D61</f>
        <v>0</v>
      </c>
      <c r="I61" s="19">
        <f t="shared" si="2"/>
        <v>0</v>
      </c>
      <c r="J61" s="19">
        <f t="shared" si="3"/>
        <v>0</v>
      </c>
      <c r="K61" s="39">
        <f>'Setoran 3'!E61</f>
        <v>0</v>
      </c>
      <c r="L61" s="19">
        <f t="shared" si="4"/>
        <v>0</v>
      </c>
      <c r="M61" s="19">
        <f t="shared" si="5"/>
        <v>0</v>
      </c>
      <c r="N61" s="39">
        <f>'Setoran 3'!F61</f>
        <v>0</v>
      </c>
      <c r="O61" s="19">
        <f t="shared" si="6"/>
        <v>0</v>
      </c>
      <c r="P61" s="19">
        <f t="shared" si="7"/>
        <v>0</v>
      </c>
      <c r="Q61" s="39">
        <f>'Setoran 3'!G61</f>
        <v>0</v>
      </c>
      <c r="R61" s="19">
        <f t="shared" si="8"/>
        <v>0</v>
      </c>
      <c r="S61" s="19">
        <f t="shared" si="9"/>
        <v>0</v>
      </c>
      <c r="T61" s="39">
        <f>'Setoran 3'!H61</f>
        <v>0</v>
      </c>
      <c r="U61" s="19">
        <f t="shared" si="10"/>
        <v>0</v>
      </c>
      <c r="V61" s="19">
        <f t="shared" si="11"/>
        <v>0</v>
      </c>
      <c r="W61" s="39">
        <f>'Setoran 3'!I61</f>
        <v>0</v>
      </c>
      <c r="X61" s="19">
        <f t="shared" si="12"/>
        <v>0</v>
      </c>
      <c r="Y61" s="19">
        <f t="shared" si="13"/>
        <v>0</v>
      </c>
      <c r="Z61" s="39">
        <f>'Setoran 3'!J61</f>
        <v>0</v>
      </c>
      <c r="AA61" s="19">
        <f t="shared" si="14"/>
        <v>0</v>
      </c>
      <c r="AB61" s="19">
        <f t="shared" si="15"/>
        <v>0</v>
      </c>
      <c r="AC61" s="39">
        <f>'Setoran 3'!K61</f>
        <v>0</v>
      </c>
      <c r="AD61" s="19">
        <f t="shared" si="16"/>
        <v>0</v>
      </c>
      <c r="AE61" s="19">
        <f t="shared" si="17"/>
        <v>0</v>
      </c>
      <c r="AF61" s="38">
        <f>'Setoran 3'!L61</f>
        <v>0</v>
      </c>
      <c r="AG61" s="19">
        <f t="shared" si="18"/>
        <v>0</v>
      </c>
      <c r="AH61" s="19">
        <f t="shared" si="19"/>
        <v>0</v>
      </c>
      <c r="AI61" s="38">
        <f>'Setoran 3'!M61</f>
        <v>0</v>
      </c>
      <c r="AJ61" s="19">
        <f t="shared" si="20"/>
        <v>0</v>
      </c>
      <c r="AK61" s="19">
        <f t="shared" si="21"/>
        <v>0</v>
      </c>
      <c r="AL61" s="38">
        <f>'Setoran 3'!N61</f>
        <v>0</v>
      </c>
      <c r="AM61" s="19">
        <f t="shared" si="22"/>
        <v>0</v>
      </c>
      <c r="AN61" s="19">
        <f t="shared" si="23"/>
        <v>0</v>
      </c>
      <c r="AO61" s="38">
        <f>'Setoran 3'!O61</f>
        <v>0</v>
      </c>
      <c r="AP61" s="19">
        <f t="shared" si="24"/>
        <v>0</v>
      </c>
      <c r="AQ61" s="19">
        <f t="shared" si="25"/>
        <v>0</v>
      </c>
      <c r="AR61" s="38">
        <f>'Setoran 3'!P61</f>
        <v>0</v>
      </c>
      <c r="AS61" s="19">
        <f t="shared" si="26"/>
        <v>0</v>
      </c>
      <c r="AT61" s="19">
        <f t="shared" si="27"/>
        <v>0</v>
      </c>
      <c r="AU61" s="38">
        <f>'Setoran 3'!Q61</f>
        <v>0</v>
      </c>
      <c r="AV61" s="19">
        <f t="shared" si="28"/>
        <v>0</v>
      </c>
      <c r="AW61" s="19">
        <f t="shared" si="29"/>
        <v>0</v>
      </c>
      <c r="AX61" s="39">
        <f t="shared" si="30"/>
        <v>0</v>
      </c>
      <c r="AY61" s="38">
        <f t="shared" si="31"/>
        <v>0</v>
      </c>
      <c r="AZ61" s="21">
        <f t="shared" si="32"/>
        <v>0</v>
      </c>
      <c r="BA61" s="22">
        <f t="shared" si="33"/>
        <v>0</v>
      </c>
    </row>
    <row r="62" spans="1:53" ht="14.5" customHeight="1" x14ac:dyDescent="0.2">
      <c r="A62" s="23">
        <v>3</v>
      </c>
      <c r="B62" s="25" t="s">
        <v>45</v>
      </c>
      <c r="C62" s="58">
        <v>50</v>
      </c>
      <c r="D62" s="58">
        <v>100</v>
      </c>
      <c r="E62" s="39">
        <f>'Setoran 3'!C62</f>
        <v>0</v>
      </c>
      <c r="F62" s="19">
        <f t="shared" si="0"/>
        <v>0</v>
      </c>
      <c r="G62" s="19">
        <f t="shared" si="1"/>
        <v>0</v>
      </c>
      <c r="H62" s="39">
        <f>'Setoran 3'!D62</f>
        <v>0</v>
      </c>
      <c r="I62" s="19">
        <f t="shared" si="2"/>
        <v>0</v>
      </c>
      <c r="J62" s="19">
        <f t="shared" si="3"/>
        <v>0</v>
      </c>
      <c r="K62" s="39">
        <f>'Setoran 3'!E62</f>
        <v>0</v>
      </c>
      <c r="L62" s="19">
        <f t="shared" si="4"/>
        <v>0</v>
      </c>
      <c r="M62" s="19">
        <f t="shared" si="5"/>
        <v>0</v>
      </c>
      <c r="N62" s="39">
        <f>'Setoran 3'!F62</f>
        <v>0</v>
      </c>
      <c r="O62" s="19">
        <f t="shared" si="6"/>
        <v>0</v>
      </c>
      <c r="P62" s="19">
        <f t="shared" si="7"/>
        <v>0</v>
      </c>
      <c r="Q62" s="39">
        <f>'Setoran 3'!G62</f>
        <v>0</v>
      </c>
      <c r="R62" s="19">
        <f t="shared" si="8"/>
        <v>0</v>
      </c>
      <c r="S62" s="19">
        <f t="shared" si="9"/>
        <v>0</v>
      </c>
      <c r="T62" s="39">
        <f>'Setoran 3'!H62</f>
        <v>0</v>
      </c>
      <c r="U62" s="19">
        <f t="shared" si="10"/>
        <v>0</v>
      </c>
      <c r="V62" s="19">
        <f t="shared" si="11"/>
        <v>0</v>
      </c>
      <c r="W62" s="39">
        <f>'Setoran 3'!I62</f>
        <v>0</v>
      </c>
      <c r="X62" s="19">
        <f t="shared" si="12"/>
        <v>0</v>
      </c>
      <c r="Y62" s="19">
        <f t="shared" si="13"/>
        <v>0</v>
      </c>
      <c r="Z62" s="39">
        <f>'Setoran 3'!J62</f>
        <v>0</v>
      </c>
      <c r="AA62" s="19">
        <f t="shared" si="14"/>
        <v>0</v>
      </c>
      <c r="AB62" s="19">
        <f t="shared" si="15"/>
        <v>0</v>
      </c>
      <c r="AC62" s="39">
        <f>'Setoran 3'!K62</f>
        <v>0</v>
      </c>
      <c r="AD62" s="19">
        <f t="shared" si="16"/>
        <v>0</v>
      </c>
      <c r="AE62" s="19">
        <f t="shared" si="17"/>
        <v>0</v>
      </c>
      <c r="AF62" s="38">
        <f>'Setoran 3'!L62</f>
        <v>0</v>
      </c>
      <c r="AG62" s="19">
        <f t="shared" si="18"/>
        <v>0</v>
      </c>
      <c r="AH62" s="19">
        <f t="shared" si="19"/>
        <v>0</v>
      </c>
      <c r="AI62" s="38">
        <f>'Setoran 3'!M62</f>
        <v>0</v>
      </c>
      <c r="AJ62" s="19">
        <f t="shared" si="20"/>
        <v>0</v>
      </c>
      <c r="AK62" s="19">
        <f t="shared" si="21"/>
        <v>0</v>
      </c>
      <c r="AL62" s="38">
        <f>'Setoran 3'!N62</f>
        <v>0</v>
      </c>
      <c r="AM62" s="19">
        <f t="shared" si="22"/>
        <v>0</v>
      </c>
      <c r="AN62" s="19">
        <f t="shared" si="23"/>
        <v>0</v>
      </c>
      <c r="AO62" s="38">
        <f>'Setoran 3'!O62</f>
        <v>0</v>
      </c>
      <c r="AP62" s="19">
        <f t="shared" si="24"/>
        <v>0</v>
      </c>
      <c r="AQ62" s="19">
        <f t="shared" si="25"/>
        <v>0</v>
      </c>
      <c r="AR62" s="38">
        <f>'Setoran 3'!P62</f>
        <v>0</v>
      </c>
      <c r="AS62" s="19">
        <f t="shared" si="26"/>
        <v>0</v>
      </c>
      <c r="AT62" s="19">
        <f t="shared" si="27"/>
        <v>0</v>
      </c>
      <c r="AU62" s="38">
        <f>'Setoran 3'!Q62</f>
        <v>0</v>
      </c>
      <c r="AV62" s="19">
        <f t="shared" si="28"/>
        <v>0</v>
      </c>
      <c r="AW62" s="19">
        <f t="shared" si="29"/>
        <v>0</v>
      </c>
      <c r="AX62" s="39">
        <f t="shared" si="30"/>
        <v>0</v>
      </c>
      <c r="AY62" s="38">
        <f t="shared" si="31"/>
        <v>0</v>
      </c>
      <c r="AZ62" s="21">
        <f t="shared" si="32"/>
        <v>0</v>
      </c>
      <c r="BA62" s="22">
        <f t="shared" si="33"/>
        <v>0</v>
      </c>
    </row>
    <row r="63" spans="1:53" ht="14.5" customHeight="1" x14ac:dyDescent="0.2">
      <c r="A63" s="51" t="s">
        <v>46</v>
      </c>
      <c r="B63" s="5"/>
      <c r="C63" s="40"/>
      <c r="D63" s="42"/>
      <c r="E63" s="39"/>
      <c r="F63" s="19"/>
      <c r="G63" s="19"/>
      <c r="H63" s="39"/>
      <c r="I63" s="19"/>
      <c r="J63" s="19"/>
      <c r="K63" s="39"/>
      <c r="L63" s="19"/>
      <c r="M63" s="19"/>
      <c r="N63" s="39"/>
      <c r="O63" s="19"/>
      <c r="P63" s="19"/>
      <c r="Q63" s="39"/>
      <c r="R63" s="19"/>
      <c r="S63" s="19"/>
      <c r="T63" s="39"/>
      <c r="U63" s="19"/>
      <c r="V63" s="19"/>
      <c r="W63" s="39"/>
      <c r="X63" s="19"/>
      <c r="Y63" s="19"/>
      <c r="Z63" s="39"/>
      <c r="AA63" s="19"/>
      <c r="AB63" s="19"/>
      <c r="AC63" s="39"/>
      <c r="AD63" s="19"/>
      <c r="AE63" s="19"/>
      <c r="AF63" s="38"/>
      <c r="AG63" s="19"/>
      <c r="AH63" s="19"/>
      <c r="AI63" s="38"/>
      <c r="AJ63" s="19"/>
      <c r="AK63" s="19"/>
      <c r="AL63" s="38"/>
      <c r="AM63" s="19"/>
      <c r="AN63" s="19"/>
      <c r="AO63" s="38"/>
      <c r="AP63" s="19"/>
      <c r="AQ63" s="19"/>
      <c r="AR63" s="38"/>
      <c r="AS63" s="19"/>
      <c r="AT63" s="19"/>
      <c r="AU63" s="38"/>
      <c r="AV63" s="19"/>
      <c r="AW63" s="19"/>
      <c r="AX63" s="39"/>
      <c r="AY63" s="38"/>
      <c r="AZ63" s="21"/>
      <c r="BA63" s="22"/>
    </row>
    <row r="64" spans="1:53" ht="14.5" customHeight="1" x14ac:dyDescent="0.2">
      <c r="A64" s="71">
        <v>1</v>
      </c>
      <c r="B64" s="53" t="s">
        <v>100</v>
      </c>
      <c r="C64" s="58">
        <v>400</v>
      </c>
      <c r="D64" s="58">
        <v>500</v>
      </c>
      <c r="E64" s="39">
        <f>'Setoran 3'!C64</f>
        <v>0</v>
      </c>
      <c r="F64" s="19">
        <f t="shared" si="0"/>
        <v>0</v>
      </c>
      <c r="G64" s="19">
        <f t="shared" si="1"/>
        <v>0</v>
      </c>
      <c r="H64" s="39">
        <f>'Setoran 3'!D64</f>
        <v>0</v>
      </c>
      <c r="I64" s="19">
        <f t="shared" si="2"/>
        <v>0</v>
      </c>
      <c r="J64" s="19">
        <f t="shared" si="3"/>
        <v>0</v>
      </c>
      <c r="K64" s="39">
        <f>'Setoran 3'!E64</f>
        <v>0</v>
      </c>
      <c r="L64" s="19">
        <f t="shared" si="4"/>
        <v>0</v>
      </c>
      <c r="M64" s="19">
        <f t="shared" si="5"/>
        <v>0</v>
      </c>
      <c r="N64" s="39">
        <f>'Setoran 3'!F64</f>
        <v>0</v>
      </c>
      <c r="O64" s="19">
        <f t="shared" si="6"/>
        <v>0</v>
      </c>
      <c r="P64" s="19">
        <f t="shared" si="7"/>
        <v>0</v>
      </c>
      <c r="Q64" s="39">
        <f>'Setoran 3'!G64</f>
        <v>0</v>
      </c>
      <c r="R64" s="19">
        <f t="shared" si="8"/>
        <v>0</v>
      </c>
      <c r="S64" s="19">
        <f t="shared" si="9"/>
        <v>0</v>
      </c>
      <c r="T64" s="39">
        <f>'Setoran 3'!H64</f>
        <v>0</v>
      </c>
      <c r="U64" s="19">
        <f t="shared" si="10"/>
        <v>0</v>
      </c>
      <c r="V64" s="19">
        <f t="shared" si="11"/>
        <v>0</v>
      </c>
      <c r="W64" s="39">
        <f>'Setoran 3'!I64</f>
        <v>0</v>
      </c>
      <c r="X64" s="19">
        <f t="shared" si="12"/>
        <v>0</v>
      </c>
      <c r="Y64" s="19">
        <f t="shared" si="13"/>
        <v>0</v>
      </c>
      <c r="Z64" s="39">
        <f>'Setoran 3'!J64</f>
        <v>0</v>
      </c>
      <c r="AA64" s="19">
        <f t="shared" si="14"/>
        <v>0</v>
      </c>
      <c r="AB64" s="19">
        <f t="shared" si="15"/>
        <v>0</v>
      </c>
      <c r="AC64" s="39">
        <f>'Setoran 3'!K64</f>
        <v>0</v>
      </c>
      <c r="AD64" s="19">
        <f t="shared" si="16"/>
        <v>0</v>
      </c>
      <c r="AE64" s="19">
        <f t="shared" si="17"/>
        <v>0</v>
      </c>
      <c r="AF64" s="38">
        <f>'Setoran 3'!L64</f>
        <v>0</v>
      </c>
      <c r="AG64" s="19">
        <f t="shared" si="18"/>
        <v>0</v>
      </c>
      <c r="AH64" s="19">
        <f t="shared" si="19"/>
        <v>0</v>
      </c>
      <c r="AI64" s="38">
        <f>'Setoran 3'!M64</f>
        <v>0</v>
      </c>
      <c r="AJ64" s="19">
        <f t="shared" si="20"/>
        <v>0</v>
      </c>
      <c r="AK64" s="19">
        <f t="shared" si="21"/>
        <v>0</v>
      </c>
      <c r="AL64" s="38">
        <f>'Setoran 3'!N64</f>
        <v>0</v>
      </c>
      <c r="AM64" s="19">
        <f t="shared" si="22"/>
        <v>0</v>
      </c>
      <c r="AN64" s="19">
        <f t="shared" si="23"/>
        <v>0</v>
      </c>
      <c r="AO64" s="38">
        <f>'Setoran 3'!O64</f>
        <v>0</v>
      </c>
      <c r="AP64" s="19">
        <f t="shared" si="24"/>
        <v>0</v>
      </c>
      <c r="AQ64" s="19">
        <f t="shared" si="25"/>
        <v>0</v>
      </c>
      <c r="AR64" s="38">
        <f>'Setoran 3'!P64</f>
        <v>0</v>
      </c>
      <c r="AS64" s="19">
        <f t="shared" si="26"/>
        <v>0</v>
      </c>
      <c r="AT64" s="19">
        <f t="shared" si="27"/>
        <v>0</v>
      </c>
      <c r="AU64" s="38">
        <f>'Setoran 3'!Q64</f>
        <v>0</v>
      </c>
      <c r="AV64" s="19">
        <f t="shared" si="28"/>
        <v>0</v>
      </c>
      <c r="AW64" s="19">
        <f t="shared" si="29"/>
        <v>0</v>
      </c>
      <c r="AX64" s="39">
        <f t="shared" si="30"/>
        <v>0</v>
      </c>
      <c r="AY64" s="38">
        <f t="shared" si="31"/>
        <v>0</v>
      </c>
      <c r="AZ64" s="21">
        <f t="shared" si="32"/>
        <v>0</v>
      </c>
      <c r="BA64" s="22">
        <f t="shared" si="33"/>
        <v>0</v>
      </c>
    </row>
    <row r="65" spans="1:53" ht="14.5" customHeight="1" x14ac:dyDescent="0.2">
      <c r="A65" s="71">
        <v>2</v>
      </c>
      <c r="B65" s="53" t="s">
        <v>101</v>
      </c>
      <c r="C65" s="58">
        <v>450</v>
      </c>
      <c r="D65" s="58">
        <v>500</v>
      </c>
      <c r="E65" s="39">
        <f>'Setoran 3'!C65</f>
        <v>0</v>
      </c>
      <c r="F65" s="19">
        <f t="shared" si="0"/>
        <v>0</v>
      </c>
      <c r="G65" s="19">
        <f t="shared" si="1"/>
        <v>0</v>
      </c>
      <c r="H65" s="39">
        <f>'Setoran 3'!D65</f>
        <v>0</v>
      </c>
      <c r="I65" s="19">
        <f t="shared" si="2"/>
        <v>0</v>
      </c>
      <c r="J65" s="19">
        <f t="shared" si="3"/>
        <v>0</v>
      </c>
      <c r="K65" s="39">
        <f>'Setoran 3'!E65</f>
        <v>0</v>
      </c>
      <c r="L65" s="19">
        <f t="shared" si="4"/>
        <v>0</v>
      </c>
      <c r="M65" s="19">
        <f t="shared" si="5"/>
        <v>0</v>
      </c>
      <c r="N65" s="39">
        <f>'Setoran 3'!F65</f>
        <v>0</v>
      </c>
      <c r="O65" s="19">
        <f t="shared" si="6"/>
        <v>0</v>
      </c>
      <c r="P65" s="19">
        <f t="shared" si="7"/>
        <v>0</v>
      </c>
      <c r="Q65" s="39">
        <f>'Setoran 3'!G65</f>
        <v>0</v>
      </c>
      <c r="R65" s="19">
        <f t="shared" si="8"/>
        <v>0</v>
      </c>
      <c r="S65" s="19">
        <f t="shared" si="9"/>
        <v>0</v>
      </c>
      <c r="T65" s="39">
        <f>'Setoran 3'!H65</f>
        <v>0</v>
      </c>
      <c r="U65" s="19">
        <f t="shared" si="10"/>
        <v>0</v>
      </c>
      <c r="V65" s="19">
        <f t="shared" si="11"/>
        <v>0</v>
      </c>
      <c r="W65" s="39">
        <f>'Setoran 3'!I65</f>
        <v>0</v>
      </c>
      <c r="X65" s="19">
        <f t="shared" si="12"/>
        <v>0</v>
      </c>
      <c r="Y65" s="19">
        <f t="shared" si="13"/>
        <v>0</v>
      </c>
      <c r="Z65" s="39">
        <f>'Setoran 3'!J65</f>
        <v>0</v>
      </c>
      <c r="AA65" s="19">
        <f t="shared" si="14"/>
        <v>0</v>
      </c>
      <c r="AB65" s="19">
        <f t="shared" si="15"/>
        <v>0</v>
      </c>
      <c r="AC65" s="39">
        <f>'Setoran 3'!K65</f>
        <v>0</v>
      </c>
      <c r="AD65" s="19">
        <f t="shared" si="16"/>
        <v>0</v>
      </c>
      <c r="AE65" s="19">
        <f t="shared" si="17"/>
        <v>0</v>
      </c>
      <c r="AF65" s="38">
        <f>'Setoran 3'!L65</f>
        <v>0</v>
      </c>
      <c r="AG65" s="19">
        <f t="shared" si="18"/>
        <v>0</v>
      </c>
      <c r="AH65" s="19">
        <f t="shared" si="19"/>
        <v>0</v>
      </c>
      <c r="AI65" s="38">
        <f>'Setoran 3'!M65</f>
        <v>0</v>
      </c>
      <c r="AJ65" s="19">
        <f t="shared" si="20"/>
        <v>0</v>
      </c>
      <c r="AK65" s="19">
        <f t="shared" si="21"/>
        <v>0</v>
      </c>
      <c r="AL65" s="38">
        <f>'Setoran 3'!N65</f>
        <v>0</v>
      </c>
      <c r="AM65" s="19">
        <f t="shared" si="22"/>
        <v>0</v>
      </c>
      <c r="AN65" s="19">
        <f t="shared" si="23"/>
        <v>0</v>
      </c>
      <c r="AO65" s="38">
        <f>'Setoran 3'!O65</f>
        <v>0</v>
      </c>
      <c r="AP65" s="19">
        <f t="shared" si="24"/>
        <v>0</v>
      </c>
      <c r="AQ65" s="19">
        <f t="shared" si="25"/>
        <v>0</v>
      </c>
      <c r="AR65" s="38">
        <f>'Setoran 3'!P65</f>
        <v>0</v>
      </c>
      <c r="AS65" s="19">
        <f t="shared" si="26"/>
        <v>0</v>
      </c>
      <c r="AT65" s="19">
        <f t="shared" si="27"/>
        <v>0</v>
      </c>
      <c r="AU65" s="38">
        <f>'Setoran 3'!Q65</f>
        <v>0</v>
      </c>
      <c r="AV65" s="19">
        <f t="shared" si="28"/>
        <v>0</v>
      </c>
      <c r="AW65" s="19">
        <f t="shared" si="29"/>
        <v>0</v>
      </c>
      <c r="AX65" s="39">
        <f t="shared" si="30"/>
        <v>0</v>
      </c>
      <c r="AY65" s="38">
        <f t="shared" si="31"/>
        <v>0</v>
      </c>
      <c r="AZ65" s="21">
        <f t="shared" si="32"/>
        <v>0</v>
      </c>
      <c r="BA65" s="22">
        <f t="shared" si="33"/>
        <v>0</v>
      </c>
    </row>
    <row r="66" spans="1:53" ht="14.5" customHeight="1" x14ac:dyDescent="0.2">
      <c r="A66" s="71">
        <v>3</v>
      </c>
      <c r="B66" s="53" t="s">
        <v>47</v>
      </c>
      <c r="C66" s="58">
        <v>400</v>
      </c>
      <c r="D66" s="58">
        <v>500</v>
      </c>
      <c r="E66" s="39">
        <f>'Setoran 3'!C66</f>
        <v>0</v>
      </c>
      <c r="F66" s="19">
        <f t="shared" si="0"/>
        <v>0</v>
      </c>
      <c r="G66" s="19">
        <f t="shared" si="1"/>
        <v>0</v>
      </c>
      <c r="H66" s="39">
        <f>'Setoran 3'!D66</f>
        <v>0</v>
      </c>
      <c r="I66" s="19">
        <f t="shared" si="2"/>
        <v>0</v>
      </c>
      <c r="J66" s="19">
        <f t="shared" si="3"/>
        <v>0</v>
      </c>
      <c r="K66" s="39">
        <f>'Setoran 3'!E66</f>
        <v>0</v>
      </c>
      <c r="L66" s="19">
        <f t="shared" si="4"/>
        <v>0</v>
      </c>
      <c r="M66" s="19">
        <f t="shared" si="5"/>
        <v>0</v>
      </c>
      <c r="N66" s="39">
        <f>'Setoran 3'!F66</f>
        <v>0</v>
      </c>
      <c r="O66" s="19">
        <f t="shared" si="6"/>
        <v>0</v>
      </c>
      <c r="P66" s="19">
        <f t="shared" si="7"/>
        <v>0</v>
      </c>
      <c r="Q66" s="39">
        <f>'Setoran 3'!G66</f>
        <v>0</v>
      </c>
      <c r="R66" s="19">
        <f t="shared" si="8"/>
        <v>0</v>
      </c>
      <c r="S66" s="19">
        <f t="shared" si="9"/>
        <v>0</v>
      </c>
      <c r="T66" s="39">
        <f>'Setoran 3'!H66</f>
        <v>0</v>
      </c>
      <c r="U66" s="19">
        <f t="shared" si="10"/>
        <v>0</v>
      </c>
      <c r="V66" s="19">
        <f t="shared" si="11"/>
        <v>0</v>
      </c>
      <c r="W66" s="39">
        <f>'Setoran 3'!I66</f>
        <v>0</v>
      </c>
      <c r="X66" s="19">
        <f t="shared" si="12"/>
        <v>0</v>
      </c>
      <c r="Y66" s="19">
        <f t="shared" si="13"/>
        <v>0</v>
      </c>
      <c r="Z66" s="39">
        <f>'Setoran 3'!J66</f>
        <v>0</v>
      </c>
      <c r="AA66" s="19">
        <f t="shared" si="14"/>
        <v>0</v>
      </c>
      <c r="AB66" s="19">
        <f t="shared" si="15"/>
        <v>0</v>
      </c>
      <c r="AC66" s="39">
        <f>'Setoran 3'!K66</f>
        <v>0</v>
      </c>
      <c r="AD66" s="19">
        <f t="shared" si="16"/>
        <v>0</v>
      </c>
      <c r="AE66" s="19">
        <f t="shared" si="17"/>
        <v>0</v>
      </c>
      <c r="AF66" s="38">
        <f>'Setoran 3'!L66</f>
        <v>0</v>
      </c>
      <c r="AG66" s="19">
        <f t="shared" si="18"/>
        <v>0</v>
      </c>
      <c r="AH66" s="19">
        <f t="shared" si="19"/>
        <v>0</v>
      </c>
      <c r="AI66" s="38">
        <f>'Setoran 3'!M66</f>
        <v>0</v>
      </c>
      <c r="AJ66" s="19">
        <f t="shared" si="20"/>
        <v>0</v>
      </c>
      <c r="AK66" s="19">
        <f t="shared" si="21"/>
        <v>0</v>
      </c>
      <c r="AL66" s="38">
        <f>'Setoran 3'!N66</f>
        <v>0</v>
      </c>
      <c r="AM66" s="19">
        <f t="shared" si="22"/>
        <v>0</v>
      </c>
      <c r="AN66" s="19">
        <f t="shared" si="23"/>
        <v>0</v>
      </c>
      <c r="AO66" s="38">
        <f>'Setoran 3'!O66</f>
        <v>0</v>
      </c>
      <c r="AP66" s="19">
        <f t="shared" si="24"/>
        <v>0</v>
      </c>
      <c r="AQ66" s="19">
        <f t="shared" si="25"/>
        <v>0</v>
      </c>
      <c r="AR66" s="38">
        <f>'Setoran 3'!P66</f>
        <v>0</v>
      </c>
      <c r="AS66" s="19">
        <f t="shared" si="26"/>
        <v>0</v>
      </c>
      <c r="AT66" s="19">
        <f t="shared" si="27"/>
        <v>0</v>
      </c>
      <c r="AU66" s="38">
        <f>'Setoran 3'!Q66</f>
        <v>0</v>
      </c>
      <c r="AV66" s="19">
        <f t="shared" si="28"/>
        <v>0</v>
      </c>
      <c r="AW66" s="19">
        <f t="shared" si="29"/>
        <v>0</v>
      </c>
      <c r="AX66" s="39">
        <f t="shared" si="30"/>
        <v>0</v>
      </c>
      <c r="AY66" s="38">
        <f t="shared" si="31"/>
        <v>0</v>
      </c>
      <c r="AZ66" s="21">
        <f t="shared" si="32"/>
        <v>0</v>
      </c>
      <c r="BA66" s="22">
        <f t="shared" si="33"/>
        <v>0</v>
      </c>
    </row>
    <row r="67" spans="1:53" ht="14.5" customHeight="1" x14ac:dyDescent="0.2">
      <c r="A67" s="71">
        <v>4</v>
      </c>
      <c r="B67" s="53" t="s">
        <v>102</v>
      </c>
      <c r="C67" s="57">
        <v>3500</v>
      </c>
      <c r="D67" s="57">
        <v>4000</v>
      </c>
      <c r="E67" s="39">
        <f>'Setoran 3'!C67</f>
        <v>0</v>
      </c>
      <c r="F67" s="19">
        <f t="shared" si="0"/>
        <v>0</v>
      </c>
      <c r="G67" s="19">
        <f t="shared" si="1"/>
        <v>0</v>
      </c>
      <c r="H67" s="39">
        <f>'Setoran 3'!D67</f>
        <v>0</v>
      </c>
      <c r="I67" s="19">
        <f t="shared" si="2"/>
        <v>0</v>
      </c>
      <c r="J67" s="19">
        <f t="shared" si="3"/>
        <v>0</v>
      </c>
      <c r="K67" s="39">
        <f>'Setoran 3'!E67</f>
        <v>0</v>
      </c>
      <c r="L67" s="19">
        <f t="shared" si="4"/>
        <v>0</v>
      </c>
      <c r="M67" s="19">
        <f t="shared" si="5"/>
        <v>0</v>
      </c>
      <c r="N67" s="39">
        <f>'Setoran 3'!F67</f>
        <v>0</v>
      </c>
      <c r="O67" s="19">
        <f t="shared" si="6"/>
        <v>0</v>
      </c>
      <c r="P67" s="19">
        <f t="shared" si="7"/>
        <v>0</v>
      </c>
      <c r="Q67" s="39">
        <f>'Setoran 3'!G67</f>
        <v>0</v>
      </c>
      <c r="R67" s="19">
        <f t="shared" si="8"/>
        <v>0</v>
      </c>
      <c r="S67" s="19">
        <f t="shared" si="9"/>
        <v>0</v>
      </c>
      <c r="T67" s="39">
        <f>'Setoran 3'!H67</f>
        <v>0</v>
      </c>
      <c r="U67" s="19">
        <f t="shared" si="10"/>
        <v>0</v>
      </c>
      <c r="V67" s="19">
        <f t="shared" si="11"/>
        <v>0</v>
      </c>
      <c r="W67" s="39">
        <f>'Setoran 3'!I67</f>
        <v>0</v>
      </c>
      <c r="X67" s="19">
        <f t="shared" si="12"/>
        <v>0</v>
      </c>
      <c r="Y67" s="19">
        <f t="shared" si="13"/>
        <v>0</v>
      </c>
      <c r="Z67" s="39">
        <f>'Setoran 3'!J67</f>
        <v>0</v>
      </c>
      <c r="AA67" s="19">
        <f t="shared" si="14"/>
        <v>0</v>
      </c>
      <c r="AB67" s="19">
        <f t="shared" si="15"/>
        <v>0</v>
      </c>
      <c r="AC67" s="39">
        <f>'Setoran 3'!K67</f>
        <v>0</v>
      </c>
      <c r="AD67" s="19">
        <f t="shared" si="16"/>
        <v>0</v>
      </c>
      <c r="AE67" s="19">
        <f t="shared" si="17"/>
        <v>0</v>
      </c>
      <c r="AF67" s="38">
        <f>'Setoran 3'!L67</f>
        <v>0</v>
      </c>
      <c r="AG67" s="19">
        <f t="shared" si="18"/>
        <v>0</v>
      </c>
      <c r="AH67" s="19">
        <f t="shared" si="19"/>
        <v>0</v>
      </c>
      <c r="AI67" s="38">
        <f>'Setoran 3'!M67</f>
        <v>0</v>
      </c>
      <c r="AJ67" s="19">
        <f t="shared" si="20"/>
        <v>0</v>
      </c>
      <c r="AK67" s="19">
        <f t="shared" si="21"/>
        <v>0</v>
      </c>
      <c r="AL67" s="38">
        <f>'Setoran 3'!N67</f>
        <v>0</v>
      </c>
      <c r="AM67" s="19">
        <f t="shared" si="22"/>
        <v>0</v>
      </c>
      <c r="AN67" s="19">
        <f t="shared" si="23"/>
        <v>0</v>
      </c>
      <c r="AO67" s="38">
        <f>'Setoran 3'!O67</f>
        <v>0</v>
      </c>
      <c r="AP67" s="19">
        <f t="shared" si="24"/>
        <v>0</v>
      </c>
      <c r="AQ67" s="19">
        <f t="shared" si="25"/>
        <v>0</v>
      </c>
      <c r="AR67" s="38">
        <f>'Setoran 3'!P67</f>
        <v>0</v>
      </c>
      <c r="AS67" s="19">
        <f t="shared" si="26"/>
        <v>0</v>
      </c>
      <c r="AT67" s="19">
        <f t="shared" si="27"/>
        <v>0</v>
      </c>
      <c r="AU67" s="38">
        <f>'Setoran 3'!Q67</f>
        <v>0</v>
      </c>
      <c r="AV67" s="19">
        <f t="shared" si="28"/>
        <v>0</v>
      </c>
      <c r="AW67" s="19">
        <f t="shared" si="29"/>
        <v>0</v>
      </c>
      <c r="AX67" s="39">
        <f t="shared" si="30"/>
        <v>0</v>
      </c>
      <c r="AY67" s="38">
        <f t="shared" si="31"/>
        <v>0</v>
      </c>
      <c r="AZ67" s="21">
        <f t="shared" si="32"/>
        <v>0</v>
      </c>
      <c r="BA67" s="22">
        <f t="shared" si="33"/>
        <v>0</v>
      </c>
    </row>
    <row r="68" spans="1:53" ht="14.5" customHeight="1" x14ac:dyDescent="0.2">
      <c r="A68" s="71">
        <v>5</v>
      </c>
      <c r="B68" s="53" t="s">
        <v>48</v>
      </c>
      <c r="C68" s="57">
        <v>2500</v>
      </c>
      <c r="D68" s="57">
        <v>3000</v>
      </c>
      <c r="E68" s="39">
        <f>'Setoran 3'!C68</f>
        <v>0</v>
      </c>
      <c r="F68" s="19">
        <f t="shared" si="0"/>
        <v>0</v>
      </c>
      <c r="G68" s="19">
        <f t="shared" si="1"/>
        <v>0</v>
      </c>
      <c r="H68" s="39">
        <f>'Setoran 3'!D68</f>
        <v>0</v>
      </c>
      <c r="I68" s="19">
        <f t="shared" si="2"/>
        <v>0</v>
      </c>
      <c r="J68" s="19">
        <f t="shared" si="3"/>
        <v>0</v>
      </c>
      <c r="K68" s="39">
        <f>'Setoran 3'!E68</f>
        <v>0</v>
      </c>
      <c r="L68" s="19">
        <f t="shared" si="4"/>
        <v>0</v>
      </c>
      <c r="M68" s="19">
        <f t="shared" si="5"/>
        <v>0</v>
      </c>
      <c r="N68" s="39">
        <f>'Setoran 3'!F68</f>
        <v>0</v>
      </c>
      <c r="O68" s="19">
        <f t="shared" si="6"/>
        <v>0</v>
      </c>
      <c r="P68" s="19">
        <f t="shared" si="7"/>
        <v>0</v>
      </c>
      <c r="Q68" s="39">
        <f>'Setoran 3'!G68</f>
        <v>0</v>
      </c>
      <c r="R68" s="19">
        <f t="shared" si="8"/>
        <v>0</v>
      </c>
      <c r="S68" s="19">
        <f t="shared" si="9"/>
        <v>0</v>
      </c>
      <c r="T68" s="39">
        <f>'Setoran 3'!H68</f>
        <v>0</v>
      </c>
      <c r="U68" s="19">
        <f t="shared" si="10"/>
        <v>0</v>
      </c>
      <c r="V68" s="19">
        <f t="shared" si="11"/>
        <v>0</v>
      </c>
      <c r="W68" s="39">
        <f>'Setoran 3'!I68</f>
        <v>0</v>
      </c>
      <c r="X68" s="19">
        <f t="shared" si="12"/>
        <v>0</v>
      </c>
      <c r="Y68" s="19">
        <f t="shared" si="13"/>
        <v>0</v>
      </c>
      <c r="Z68" s="39">
        <f>'Setoran 3'!J68</f>
        <v>0</v>
      </c>
      <c r="AA68" s="19">
        <f t="shared" si="14"/>
        <v>0</v>
      </c>
      <c r="AB68" s="19">
        <f t="shared" si="15"/>
        <v>0</v>
      </c>
      <c r="AC68" s="39">
        <f>'Setoran 3'!K68</f>
        <v>0</v>
      </c>
      <c r="AD68" s="19">
        <f t="shared" si="16"/>
        <v>0</v>
      </c>
      <c r="AE68" s="19">
        <f t="shared" si="17"/>
        <v>0</v>
      </c>
      <c r="AF68" s="38">
        <f>'Setoran 3'!L68</f>
        <v>0</v>
      </c>
      <c r="AG68" s="19">
        <f t="shared" si="18"/>
        <v>0</v>
      </c>
      <c r="AH68" s="19">
        <f t="shared" si="19"/>
        <v>0</v>
      </c>
      <c r="AI68" s="38">
        <f>'Setoran 3'!M68</f>
        <v>0</v>
      </c>
      <c r="AJ68" s="19">
        <f t="shared" si="20"/>
        <v>0</v>
      </c>
      <c r="AK68" s="19">
        <f t="shared" si="21"/>
        <v>0</v>
      </c>
      <c r="AL68" s="38">
        <f>'Setoran 3'!N68</f>
        <v>0</v>
      </c>
      <c r="AM68" s="19">
        <f t="shared" si="22"/>
        <v>0</v>
      </c>
      <c r="AN68" s="19">
        <f t="shared" si="23"/>
        <v>0</v>
      </c>
      <c r="AO68" s="38">
        <f>'Setoran 3'!O68</f>
        <v>0</v>
      </c>
      <c r="AP68" s="19">
        <f t="shared" si="24"/>
        <v>0</v>
      </c>
      <c r="AQ68" s="19">
        <f t="shared" si="25"/>
        <v>0</v>
      </c>
      <c r="AR68" s="38">
        <f>'Setoran 3'!P68</f>
        <v>0</v>
      </c>
      <c r="AS68" s="19">
        <f t="shared" si="26"/>
        <v>0</v>
      </c>
      <c r="AT68" s="19">
        <f t="shared" si="27"/>
        <v>0</v>
      </c>
      <c r="AU68" s="38">
        <f>'Setoran 3'!Q68</f>
        <v>0</v>
      </c>
      <c r="AV68" s="19">
        <f t="shared" si="28"/>
        <v>0</v>
      </c>
      <c r="AW68" s="19">
        <f t="shared" si="29"/>
        <v>0</v>
      </c>
      <c r="AX68" s="39">
        <f t="shared" si="30"/>
        <v>0</v>
      </c>
      <c r="AY68" s="38">
        <f t="shared" si="31"/>
        <v>0</v>
      </c>
      <c r="AZ68" s="21">
        <f t="shared" si="32"/>
        <v>0</v>
      </c>
      <c r="BA68" s="22">
        <f t="shared" si="33"/>
        <v>0</v>
      </c>
    </row>
    <row r="69" spans="1:53" ht="14.5" customHeight="1" x14ac:dyDescent="0.2">
      <c r="A69" s="71">
        <v>6</v>
      </c>
      <c r="B69" s="53" t="s">
        <v>49</v>
      </c>
      <c r="C69" s="58">
        <v>150</v>
      </c>
      <c r="D69" s="58">
        <v>200</v>
      </c>
      <c r="E69" s="39">
        <f>'Setoran 3'!C69</f>
        <v>0</v>
      </c>
      <c r="F69" s="19">
        <f t="shared" si="0"/>
        <v>0</v>
      </c>
      <c r="G69" s="19">
        <f t="shared" si="1"/>
        <v>0</v>
      </c>
      <c r="H69" s="39">
        <f>'Setoran 3'!D69</f>
        <v>0</v>
      </c>
      <c r="I69" s="19">
        <f t="shared" si="2"/>
        <v>0</v>
      </c>
      <c r="J69" s="19">
        <f t="shared" si="3"/>
        <v>0</v>
      </c>
      <c r="K69" s="39">
        <f>'Setoran 3'!E69</f>
        <v>0</v>
      </c>
      <c r="L69" s="19">
        <f t="shared" si="4"/>
        <v>0</v>
      </c>
      <c r="M69" s="19">
        <f t="shared" si="5"/>
        <v>0</v>
      </c>
      <c r="N69" s="39">
        <f>'Setoran 3'!F69</f>
        <v>0</v>
      </c>
      <c r="O69" s="19">
        <f t="shared" si="6"/>
        <v>0</v>
      </c>
      <c r="P69" s="19">
        <f t="shared" si="7"/>
        <v>0</v>
      </c>
      <c r="Q69" s="39">
        <f>'Setoran 3'!G69</f>
        <v>0</v>
      </c>
      <c r="R69" s="19">
        <f t="shared" si="8"/>
        <v>0</v>
      </c>
      <c r="S69" s="19">
        <f t="shared" si="9"/>
        <v>0</v>
      </c>
      <c r="T69" s="39">
        <f>'Setoran 3'!H69</f>
        <v>0</v>
      </c>
      <c r="U69" s="19">
        <f t="shared" si="10"/>
        <v>0</v>
      </c>
      <c r="V69" s="19">
        <f t="shared" si="11"/>
        <v>0</v>
      </c>
      <c r="W69" s="39">
        <f>'Setoran 3'!I69</f>
        <v>0</v>
      </c>
      <c r="X69" s="19">
        <f t="shared" si="12"/>
        <v>0</v>
      </c>
      <c r="Y69" s="19">
        <f t="shared" si="13"/>
        <v>0</v>
      </c>
      <c r="Z69" s="39">
        <f>'Setoran 3'!J69</f>
        <v>0</v>
      </c>
      <c r="AA69" s="19">
        <f t="shared" si="14"/>
        <v>0</v>
      </c>
      <c r="AB69" s="19">
        <f t="shared" si="15"/>
        <v>0</v>
      </c>
      <c r="AC69" s="39">
        <f>'Setoran 3'!K69</f>
        <v>0</v>
      </c>
      <c r="AD69" s="19">
        <f t="shared" si="16"/>
        <v>0</v>
      </c>
      <c r="AE69" s="19">
        <f t="shared" si="17"/>
        <v>0</v>
      </c>
      <c r="AF69" s="38">
        <f>'Setoran 3'!L69</f>
        <v>0</v>
      </c>
      <c r="AG69" s="19">
        <f t="shared" si="18"/>
        <v>0</v>
      </c>
      <c r="AH69" s="19">
        <f t="shared" si="19"/>
        <v>0</v>
      </c>
      <c r="AI69" s="38">
        <f>'Setoran 3'!M69</f>
        <v>0</v>
      </c>
      <c r="AJ69" s="19">
        <f t="shared" si="20"/>
        <v>0</v>
      </c>
      <c r="AK69" s="19">
        <f t="shared" si="21"/>
        <v>0</v>
      </c>
      <c r="AL69" s="38">
        <f>'Setoran 3'!N69</f>
        <v>0</v>
      </c>
      <c r="AM69" s="19">
        <f t="shared" si="22"/>
        <v>0</v>
      </c>
      <c r="AN69" s="19">
        <f t="shared" si="23"/>
        <v>0</v>
      </c>
      <c r="AO69" s="38">
        <f>'Setoran 3'!O69</f>
        <v>0</v>
      </c>
      <c r="AP69" s="19">
        <f t="shared" si="24"/>
        <v>0</v>
      </c>
      <c r="AQ69" s="19">
        <f t="shared" si="25"/>
        <v>0</v>
      </c>
      <c r="AR69" s="38">
        <f>'Setoran 3'!P69</f>
        <v>0</v>
      </c>
      <c r="AS69" s="19">
        <f t="shared" si="26"/>
        <v>0</v>
      </c>
      <c r="AT69" s="19">
        <f t="shared" si="27"/>
        <v>0</v>
      </c>
      <c r="AU69" s="38">
        <f>'Setoran 3'!Q69</f>
        <v>0</v>
      </c>
      <c r="AV69" s="19">
        <f t="shared" si="28"/>
        <v>0</v>
      </c>
      <c r="AW69" s="19">
        <f t="shared" si="29"/>
        <v>0</v>
      </c>
      <c r="AX69" s="39">
        <f t="shared" si="30"/>
        <v>0</v>
      </c>
      <c r="AY69" s="38">
        <f t="shared" si="31"/>
        <v>0</v>
      </c>
      <c r="AZ69" s="21">
        <f t="shared" si="32"/>
        <v>0</v>
      </c>
      <c r="BA69" s="22">
        <f t="shared" si="33"/>
        <v>0</v>
      </c>
    </row>
    <row r="70" spans="1:53" ht="14.5" customHeight="1" x14ac:dyDescent="0.2">
      <c r="A70" s="71">
        <v>7</v>
      </c>
      <c r="B70" s="53" t="s">
        <v>52</v>
      </c>
      <c r="C70" s="58">
        <v>400</v>
      </c>
      <c r="D70" s="58">
        <v>500</v>
      </c>
      <c r="E70" s="39">
        <f>'Setoran 3'!C70</f>
        <v>0</v>
      </c>
      <c r="F70" s="19">
        <f t="shared" si="0"/>
        <v>0</v>
      </c>
      <c r="G70" s="19">
        <f t="shared" si="1"/>
        <v>0</v>
      </c>
      <c r="H70" s="39">
        <f>'Setoran 3'!D70</f>
        <v>0</v>
      </c>
      <c r="I70" s="19">
        <f t="shared" si="2"/>
        <v>0</v>
      </c>
      <c r="J70" s="19">
        <f t="shared" si="3"/>
        <v>0</v>
      </c>
      <c r="K70" s="39">
        <f>'Setoran 3'!E70</f>
        <v>0</v>
      </c>
      <c r="L70" s="19">
        <f t="shared" si="4"/>
        <v>0</v>
      </c>
      <c r="M70" s="19">
        <f t="shared" si="5"/>
        <v>0</v>
      </c>
      <c r="N70" s="39">
        <f>'Setoran 3'!F70</f>
        <v>0</v>
      </c>
      <c r="O70" s="19">
        <f t="shared" si="6"/>
        <v>0</v>
      </c>
      <c r="P70" s="19">
        <f t="shared" si="7"/>
        <v>0</v>
      </c>
      <c r="Q70" s="39">
        <f>'Setoran 3'!G70</f>
        <v>0</v>
      </c>
      <c r="R70" s="19">
        <f t="shared" si="8"/>
        <v>0</v>
      </c>
      <c r="S70" s="19">
        <f t="shared" si="9"/>
        <v>0</v>
      </c>
      <c r="T70" s="39">
        <f>'Setoran 3'!H70</f>
        <v>0</v>
      </c>
      <c r="U70" s="19">
        <f t="shared" si="10"/>
        <v>0</v>
      </c>
      <c r="V70" s="19">
        <f t="shared" si="11"/>
        <v>0</v>
      </c>
      <c r="W70" s="39">
        <f>'Setoran 3'!I70</f>
        <v>0</v>
      </c>
      <c r="X70" s="19">
        <f t="shared" si="12"/>
        <v>0</v>
      </c>
      <c r="Y70" s="19">
        <f t="shared" si="13"/>
        <v>0</v>
      </c>
      <c r="Z70" s="39">
        <f>'Setoran 3'!J70</f>
        <v>0</v>
      </c>
      <c r="AA70" s="19">
        <f t="shared" si="14"/>
        <v>0</v>
      </c>
      <c r="AB70" s="19">
        <f t="shared" si="15"/>
        <v>0</v>
      </c>
      <c r="AC70" s="39">
        <f>'Setoran 3'!K70</f>
        <v>0</v>
      </c>
      <c r="AD70" s="19">
        <f t="shared" si="16"/>
        <v>0</v>
      </c>
      <c r="AE70" s="19">
        <f t="shared" si="17"/>
        <v>0</v>
      </c>
      <c r="AF70" s="38">
        <f>'Setoran 3'!L70</f>
        <v>0</v>
      </c>
      <c r="AG70" s="19">
        <f t="shared" si="18"/>
        <v>0</v>
      </c>
      <c r="AH70" s="19">
        <f t="shared" si="19"/>
        <v>0</v>
      </c>
      <c r="AI70" s="38">
        <f>'Setoran 3'!M70</f>
        <v>0</v>
      </c>
      <c r="AJ70" s="19">
        <f t="shared" si="20"/>
        <v>0</v>
      </c>
      <c r="AK70" s="19">
        <f t="shared" si="21"/>
        <v>0</v>
      </c>
      <c r="AL70" s="38">
        <f>'Setoran 3'!N70</f>
        <v>0</v>
      </c>
      <c r="AM70" s="19">
        <f t="shared" si="22"/>
        <v>0</v>
      </c>
      <c r="AN70" s="19">
        <f t="shared" si="23"/>
        <v>0</v>
      </c>
      <c r="AO70" s="38">
        <f>'Setoran 3'!O70</f>
        <v>0</v>
      </c>
      <c r="AP70" s="19">
        <f t="shared" si="24"/>
        <v>0</v>
      </c>
      <c r="AQ70" s="19">
        <f t="shared" si="25"/>
        <v>0</v>
      </c>
      <c r="AR70" s="38">
        <f>'Setoran 3'!P70</f>
        <v>0</v>
      </c>
      <c r="AS70" s="19">
        <f t="shared" si="26"/>
        <v>0</v>
      </c>
      <c r="AT70" s="19">
        <f t="shared" si="27"/>
        <v>0</v>
      </c>
      <c r="AU70" s="38">
        <f>'Setoran 3'!Q70</f>
        <v>0</v>
      </c>
      <c r="AV70" s="19">
        <f t="shared" si="28"/>
        <v>0</v>
      </c>
      <c r="AW70" s="19">
        <f t="shared" si="29"/>
        <v>0</v>
      </c>
      <c r="AX70" s="39">
        <f t="shared" si="30"/>
        <v>0</v>
      </c>
      <c r="AY70" s="38">
        <f t="shared" si="31"/>
        <v>0</v>
      </c>
      <c r="AZ70" s="21">
        <f t="shared" si="32"/>
        <v>0</v>
      </c>
      <c r="BA70" s="22">
        <f t="shared" si="33"/>
        <v>0</v>
      </c>
    </row>
    <row r="71" spans="1:53" ht="14.5" customHeight="1" x14ac:dyDescent="0.2">
      <c r="A71" s="71">
        <v>8</v>
      </c>
      <c r="B71" s="53" t="s">
        <v>51</v>
      </c>
      <c r="C71" s="58">
        <v>500</v>
      </c>
      <c r="D71" s="58">
        <v>600</v>
      </c>
      <c r="E71" s="39">
        <f>'Setoran 3'!C71</f>
        <v>0</v>
      </c>
      <c r="F71" s="19">
        <f t="shared" si="0"/>
        <v>0</v>
      </c>
      <c r="G71" s="19">
        <f t="shared" si="1"/>
        <v>0</v>
      </c>
      <c r="H71" s="39">
        <f>'Setoran 3'!D71</f>
        <v>0</v>
      </c>
      <c r="I71" s="19">
        <f t="shared" si="2"/>
        <v>0</v>
      </c>
      <c r="J71" s="19">
        <f t="shared" si="3"/>
        <v>0</v>
      </c>
      <c r="K71" s="39">
        <f>'Setoran 3'!E71</f>
        <v>0</v>
      </c>
      <c r="L71" s="19">
        <f t="shared" si="4"/>
        <v>0</v>
      </c>
      <c r="M71" s="19">
        <f t="shared" si="5"/>
        <v>0</v>
      </c>
      <c r="N71" s="39">
        <f>'Setoran 3'!F71</f>
        <v>0</v>
      </c>
      <c r="O71" s="19">
        <f t="shared" si="6"/>
        <v>0</v>
      </c>
      <c r="P71" s="19">
        <f t="shared" si="7"/>
        <v>0</v>
      </c>
      <c r="Q71" s="39">
        <f>'Setoran 3'!G71</f>
        <v>0</v>
      </c>
      <c r="R71" s="19">
        <f t="shared" si="8"/>
        <v>0</v>
      </c>
      <c r="S71" s="19">
        <f t="shared" si="9"/>
        <v>0</v>
      </c>
      <c r="T71" s="39">
        <f>'Setoran 3'!H71</f>
        <v>0</v>
      </c>
      <c r="U71" s="19">
        <f t="shared" si="10"/>
        <v>0</v>
      </c>
      <c r="V71" s="19">
        <f t="shared" si="11"/>
        <v>0</v>
      </c>
      <c r="W71" s="39">
        <f>'Setoran 3'!I71</f>
        <v>0</v>
      </c>
      <c r="X71" s="19">
        <f t="shared" si="12"/>
        <v>0</v>
      </c>
      <c r="Y71" s="19">
        <f t="shared" si="13"/>
        <v>0</v>
      </c>
      <c r="Z71" s="39">
        <f>'Setoran 3'!J71</f>
        <v>0</v>
      </c>
      <c r="AA71" s="19">
        <f t="shared" si="14"/>
        <v>0</v>
      </c>
      <c r="AB71" s="19">
        <f t="shared" si="15"/>
        <v>0</v>
      </c>
      <c r="AC71" s="39">
        <f>'Setoran 3'!K71</f>
        <v>0</v>
      </c>
      <c r="AD71" s="19">
        <f t="shared" si="16"/>
        <v>0</v>
      </c>
      <c r="AE71" s="19">
        <f t="shared" si="17"/>
        <v>0</v>
      </c>
      <c r="AF71" s="38">
        <f>'Setoran 3'!L71</f>
        <v>0</v>
      </c>
      <c r="AG71" s="19">
        <f t="shared" si="18"/>
        <v>0</v>
      </c>
      <c r="AH71" s="19">
        <f t="shared" si="19"/>
        <v>0</v>
      </c>
      <c r="AI71" s="38">
        <f>'Setoran 3'!M71</f>
        <v>0</v>
      </c>
      <c r="AJ71" s="19">
        <f t="shared" si="20"/>
        <v>0</v>
      </c>
      <c r="AK71" s="19">
        <f t="shared" si="21"/>
        <v>0</v>
      </c>
      <c r="AL71" s="38">
        <f>'Setoran 3'!N71</f>
        <v>0</v>
      </c>
      <c r="AM71" s="19">
        <f t="shared" si="22"/>
        <v>0</v>
      </c>
      <c r="AN71" s="19">
        <f t="shared" si="23"/>
        <v>0</v>
      </c>
      <c r="AO71" s="38">
        <f>'Setoran 3'!O71</f>
        <v>0</v>
      </c>
      <c r="AP71" s="19">
        <f t="shared" si="24"/>
        <v>0</v>
      </c>
      <c r="AQ71" s="19">
        <f t="shared" si="25"/>
        <v>0</v>
      </c>
      <c r="AR71" s="38">
        <f>'Setoran 3'!P71</f>
        <v>0</v>
      </c>
      <c r="AS71" s="19">
        <f t="shared" si="26"/>
        <v>0</v>
      </c>
      <c r="AT71" s="19">
        <f t="shared" si="27"/>
        <v>0</v>
      </c>
      <c r="AU71" s="38">
        <f>'Setoran 3'!Q71</f>
        <v>0</v>
      </c>
      <c r="AV71" s="19">
        <f t="shared" si="28"/>
        <v>0</v>
      </c>
      <c r="AW71" s="19">
        <f t="shared" si="29"/>
        <v>0</v>
      </c>
      <c r="AX71" s="39">
        <f t="shared" si="30"/>
        <v>0</v>
      </c>
      <c r="AY71" s="38">
        <f t="shared" si="31"/>
        <v>0</v>
      </c>
      <c r="AZ71" s="21">
        <f t="shared" si="32"/>
        <v>0</v>
      </c>
      <c r="BA71" s="22">
        <f t="shared" si="33"/>
        <v>0</v>
      </c>
    </row>
    <row r="72" spans="1:53" ht="14.5" customHeight="1" x14ac:dyDescent="0.2">
      <c r="A72" s="71">
        <v>9</v>
      </c>
      <c r="B72" s="53" t="s">
        <v>104</v>
      </c>
      <c r="C72" s="58">
        <v>700</v>
      </c>
      <c r="D72" s="58">
        <v>800</v>
      </c>
      <c r="E72" s="39">
        <f>'Setoran 3'!C72</f>
        <v>0</v>
      </c>
      <c r="F72" s="19">
        <f t="shared" si="0"/>
        <v>0</v>
      </c>
      <c r="G72" s="19">
        <f t="shared" si="1"/>
        <v>0</v>
      </c>
      <c r="H72" s="39">
        <f>'Setoran 3'!D72</f>
        <v>0</v>
      </c>
      <c r="I72" s="19">
        <f t="shared" si="2"/>
        <v>0</v>
      </c>
      <c r="J72" s="19">
        <f t="shared" si="3"/>
        <v>0</v>
      </c>
      <c r="K72" s="39">
        <f>'Setoran 3'!E72</f>
        <v>0</v>
      </c>
      <c r="L72" s="19">
        <f t="shared" si="4"/>
        <v>0</v>
      </c>
      <c r="M72" s="19">
        <f t="shared" si="5"/>
        <v>0</v>
      </c>
      <c r="N72" s="39">
        <f>'Setoran 3'!F72</f>
        <v>0</v>
      </c>
      <c r="O72" s="19">
        <f t="shared" si="6"/>
        <v>0</v>
      </c>
      <c r="P72" s="19">
        <f t="shared" si="7"/>
        <v>0</v>
      </c>
      <c r="Q72" s="39">
        <f>'Setoran 3'!G72</f>
        <v>0</v>
      </c>
      <c r="R72" s="19">
        <f t="shared" si="8"/>
        <v>0</v>
      </c>
      <c r="S72" s="19">
        <f t="shared" si="9"/>
        <v>0</v>
      </c>
      <c r="T72" s="39">
        <f>'Setoran 3'!H72</f>
        <v>0</v>
      </c>
      <c r="U72" s="19">
        <f t="shared" si="10"/>
        <v>0</v>
      </c>
      <c r="V72" s="19">
        <f t="shared" si="11"/>
        <v>0</v>
      </c>
      <c r="W72" s="39">
        <f>'Setoran 3'!I72</f>
        <v>0</v>
      </c>
      <c r="X72" s="19">
        <f t="shared" si="12"/>
        <v>0</v>
      </c>
      <c r="Y72" s="19">
        <f t="shared" si="13"/>
        <v>0</v>
      </c>
      <c r="Z72" s="39">
        <f>'Setoran 3'!J72</f>
        <v>0</v>
      </c>
      <c r="AA72" s="19">
        <f t="shared" si="14"/>
        <v>0</v>
      </c>
      <c r="AB72" s="19">
        <f t="shared" si="15"/>
        <v>0</v>
      </c>
      <c r="AC72" s="39">
        <f>'Setoran 3'!K72</f>
        <v>0</v>
      </c>
      <c r="AD72" s="19">
        <f t="shared" si="16"/>
        <v>0</v>
      </c>
      <c r="AE72" s="19">
        <f t="shared" si="17"/>
        <v>0</v>
      </c>
      <c r="AF72" s="38">
        <f>'Setoran 3'!L72</f>
        <v>0</v>
      </c>
      <c r="AG72" s="19">
        <f t="shared" si="18"/>
        <v>0</v>
      </c>
      <c r="AH72" s="19">
        <f t="shared" si="19"/>
        <v>0</v>
      </c>
      <c r="AI72" s="38">
        <f>'Setoran 3'!M72</f>
        <v>0</v>
      </c>
      <c r="AJ72" s="19">
        <f t="shared" si="20"/>
        <v>0</v>
      </c>
      <c r="AK72" s="19">
        <f t="shared" si="21"/>
        <v>0</v>
      </c>
      <c r="AL72" s="38">
        <f>'Setoran 3'!N72</f>
        <v>0</v>
      </c>
      <c r="AM72" s="19">
        <f t="shared" si="22"/>
        <v>0</v>
      </c>
      <c r="AN72" s="19">
        <f t="shared" si="23"/>
        <v>0</v>
      </c>
      <c r="AO72" s="38">
        <f>'Setoran 3'!O72</f>
        <v>0</v>
      </c>
      <c r="AP72" s="19">
        <f t="shared" si="24"/>
        <v>0</v>
      </c>
      <c r="AQ72" s="19">
        <f t="shared" si="25"/>
        <v>0</v>
      </c>
      <c r="AR72" s="38">
        <f>'Setoran 3'!P72</f>
        <v>0</v>
      </c>
      <c r="AS72" s="19">
        <f t="shared" si="26"/>
        <v>0</v>
      </c>
      <c r="AT72" s="19">
        <f t="shared" si="27"/>
        <v>0</v>
      </c>
      <c r="AU72" s="38">
        <f>'Setoran 3'!Q72</f>
        <v>0</v>
      </c>
      <c r="AV72" s="19">
        <f t="shared" si="28"/>
        <v>0</v>
      </c>
      <c r="AW72" s="19">
        <f t="shared" si="29"/>
        <v>0</v>
      </c>
      <c r="AX72" s="39">
        <f t="shared" si="30"/>
        <v>0</v>
      </c>
      <c r="AY72" s="38">
        <f t="shared" si="31"/>
        <v>0</v>
      </c>
      <c r="AZ72" s="21">
        <f t="shared" si="32"/>
        <v>0</v>
      </c>
      <c r="BA72" s="22">
        <f t="shared" si="33"/>
        <v>0</v>
      </c>
    </row>
    <row r="73" spans="1:53" ht="14.5" customHeight="1" x14ac:dyDescent="0.2">
      <c r="A73" s="71">
        <v>10</v>
      </c>
      <c r="B73" s="53" t="s">
        <v>50</v>
      </c>
      <c r="C73" s="58">
        <v>200</v>
      </c>
      <c r="D73" s="58">
        <v>300</v>
      </c>
      <c r="E73" s="39">
        <f>'Setoran 3'!C73</f>
        <v>0</v>
      </c>
      <c r="F73" s="19">
        <f t="shared" ref="F73:F75" si="34">E73*$C73</f>
        <v>0</v>
      </c>
      <c r="G73" s="19">
        <f t="shared" ref="G73:G75" si="35">E73*$D73</f>
        <v>0</v>
      </c>
      <c r="H73" s="39">
        <f>'Setoran 3'!D73</f>
        <v>0</v>
      </c>
      <c r="I73" s="19">
        <f t="shared" ref="I73:I75" si="36">H73*$C73</f>
        <v>0</v>
      </c>
      <c r="J73" s="19">
        <f t="shared" ref="J73:J75" si="37">H73*$D73</f>
        <v>0</v>
      </c>
      <c r="K73" s="39">
        <f>'Setoran 3'!E73</f>
        <v>0</v>
      </c>
      <c r="L73" s="19">
        <f t="shared" ref="L73:L75" si="38">K73*$C73</f>
        <v>0</v>
      </c>
      <c r="M73" s="19">
        <f t="shared" ref="M73:M75" si="39">K73*$D73</f>
        <v>0</v>
      </c>
      <c r="N73" s="39">
        <f>'Setoran 3'!F73</f>
        <v>0</v>
      </c>
      <c r="O73" s="19">
        <f t="shared" ref="O73:O75" si="40">N73*$C73</f>
        <v>0</v>
      </c>
      <c r="P73" s="19">
        <f t="shared" ref="P73:P75" si="41">N73*$D73</f>
        <v>0</v>
      </c>
      <c r="Q73" s="39">
        <f>'Setoran 3'!G73</f>
        <v>0</v>
      </c>
      <c r="R73" s="19">
        <f t="shared" ref="R73:R75" si="42">Q73*$C73</f>
        <v>0</v>
      </c>
      <c r="S73" s="19">
        <f t="shared" ref="S73:S75" si="43">Q73*$D73</f>
        <v>0</v>
      </c>
      <c r="T73" s="39">
        <f>'Setoran 3'!H73</f>
        <v>0</v>
      </c>
      <c r="U73" s="19">
        <f t="shared" ref="U73:U75" si="44">T73*$C73</f>
        <v>0</v>
      </c>
      <c r="V73" s="19">
        <f t="shared" ref="V73:V75" si="45">T73*$D73</f>
        <v>0</v>
      </c>
      <c r="W73" s="39">
        <f>'Setoran 3'!I73</f>
        <v>0</v>
      </c>
      <c r="X73" s="19">
        <f t="shared" ref="X73:X75" si="46">W73*$C73</f>
        <v>0</v>
      </c>
      <c r="Y73" s="19">
        <f t="shared" ref="Y73:Y75" si="47">W73*$D73</f>
        <v>0</v>
      </c>
      <c r="Z73" s="39">
        <f>'Setoran 3'!J73</f>
        <v>0</v>
      </c>
      <c r="AA73" s="19">
        <f t="shared" ref="AA73:AA75" si="48">Z73*$C73</f>
        <v>0</v>
      </c>
      <c r="AB73" s="19">
        <f t="shared" ref="AB73:AB75" si="49">Z73*$D73</f>
        <v>0</v>
      </c>
      <c r="AC73" s="39">
        <f>'Setoran 3'!K73</f>
        <v>0</v>
      </c>
      <c r="AD73" s="19">
        <f t="shared" ref="AD73:AD75" si="50">AC73*$C73</f>
        <v>0</v>
      </c>
      <c r="AE73" s="19">
        <f t="shared" ref="AE73:AE75" si="51">AC73*$D73</f>
        <v>0</v>
      </c>
      <c r="AF73" s="38">
        <f>'Setoran 3'!L73</f>
        <v>0</v>
      </c>
      <c r="AG73" s="19">
        <f t="shared" ref="AG73:AG75" si="52">AF73*$C73</f>
        <v>0</v>
      </c>
      <c r="AH73" s="19">
        <f t="shared" ref="AH73:AH75" si="53">AF73*$D73</f>
        <v>0</v>
      </c>
      <c r="AI73" s="38">
        <f>'Setoran 3'!M73</f>
        <v>0</v>
      </c>
      <c r="AJ73" s="19">
        <f t="shared" ref="AJ73:AJ75" si="54">AI73*$C73</f>
        <v>0</v>
      </c>
      <c r="AK73" s="19">
        <f t="shared" ref="AK73:AK75" si="55">AI73*$D73</f>
        <v>0</v>
      </c>
      <c r="AL73" s="38">
        <f>'Setoran 3'!N73</f>
        <v>0</v>
      </c>
      <c r="AM73" s="19">
        <f t="shared" ref="AM73:AM75" si="56">AL73*$C73</f>
        <v>0</v>
      </c>
      <c r="AN73" s="19">
        <f t="shared" ref="AN73:AN75" si="57">AL73*$D73</f>
        <v>0</v>
      </c>
      <c r="AO73" s="38">
        <f>'Setoran 3'!O73</f>
        <v>0</v>
      </c>
      <c r="AP73" s="19">
        <f t="shared" ref="AP73:AP75" si="58">AO73*$C73</f>
        <v>0</v>
      </c>
      <c r="AQ73" s="19">
        <f t="shared" ref="AQ73:AQ75" si="59">AO73*$D73</f>
        <v>0</v>
      </c>
      <c r="AR73" s="38">
        <f>'Setoran 3'!P73</f>
        <v>0</v>
      </c>
      <c r="AS73" s="19">
        <f t="shared" ref="AS73:AS75" si="60">AR73*$C73</f>
        <v>0</v>
      </c>
      <c r="AT73" s="19">
        <f t="shared" ref="AT73:AT75" si="61">AR73*$D73</f>
        <v>0</v>
      </c>
      <c r="AU73" s="38">
        <f>'Setoran 3'!Q73</f>
        <v>0</v>
      </c>
      <c r="AV73" s="19">
        <f t="shared" ref="AV73:AV75" si="62">AU73*$C73</f>
        <v>0</v>
      </c>
      <c r="AW73" s="19">
        <f t="shared" ref="AW73:AW75" si="63">AU73*$D73</f>
        <v>0</v>
      </c>
      <c r="AX73" s="39">
        <f t="shared" ref="AX73:AX75" si="64">SUM(E73,H73,K73,N73,Q73,T73,W73,Z73,AC73,AF73,AI73,AL73,AO73,AR73,AU73)</f>
        <v>0</v>
      </c>
      <c r="AY73" s="38">
        <f t="shared" ref="AY73:AY75" si="65">SUM(F73,I73,L73,O73,R73,U73,X73,AA73,AD73,,AG73,AJ73,AM73,AP73,AS73,AV73)</f>
        <v>0</v>
      </c>
      <c r="AZ73" s="21">
        <f t="shared" ref="AZ73:AZ75" si="66">SUM(G73,J73,M73,P73,S73,V73,Y73,AB73,AE73,AH73,AK73,AN73,AQ73,AT73,AW73)</f>
        <v>0</v>
      </c>
      <c r="BA73" s="22">
        <f t="shared" ref="BA73:BA75" si="67">AZ73-AY73</f>
        <v>0</v>
      </c>
    </row>
    <row r="74" spans="1:53" ht="14.5" customHeight="1" x14ac:dyDescent="0.2">
      <c r="A74" s="71">
        <v>11</v>
      </c>
      <c r="B74" s="53" t="s">
        <v>106</v>
      </c>
      <c r="C74" s="66">
        <v>600</v>
      </c>
      <c r="D74" s="58">
        <v>700</v>
      </c>
      <c r="E74" s="39">
        <f>'Setoran 3'!C74</f>
        <v>0</v>
      </c>
      <c r="F74" s="19">
        <f t="shared" si="34"/>
        <v>0</v>
      </c>
      <c r="G74" s="19">
        <f t="shared" si="35"/>
        <v>0</v>
      </c>
      <c r="H74" s="39">
        <f>'Setoran 3'!D74</f>
        <v>0</v>
      </c>
      <c r="I74" s="19">
        <f t="shared" si="36"/>
        <v>0</v>
      </c>
      <c r="J74" s="19">
        <f t="shared" si="37"/>
        <v>0</v>
      </c>
      <c r="K74" s="39">
        <f>'Setoran 3'!E74</f>
        <v>0</v>
      </c>
      <c r="L74" s="19">
        <f t="shared" si="38"/>
        <v>0</v>
      </c>
      <c r="M74" s="19">
        <f t="shared" si="39"/>
        <v>0</v>
      </c>
      <c r="N74" s="39">
        <f>'Setoran 3'!F74</f>
        <v>0</v>
      </c>
      <c r="O74" s="19">
        <f t="shared" si="40"/>
        <v>0</v>
      </c>
      <c r="P74" s="19">
        <f t="shared" si="41"/>
        <v>0</v>
      </c>
      <c r="Q74" s="39">
        <f>'Setoran 3'!G74</f>
        <v>0</v>
      </c>
      <c r="R74" s="19">
        <f t="shared" si="42"/>
        <v>0</v>
      </c>
      <c r="S74" s="19">
        <f t="shared" si="43"/>
        <v>0</v>
      </c>
      <c r="T74" s="39">
        <f>'Setoran 3'!H74</f>
        <v>0</v>
      </c>
      <c r="U74" s="19">
        <f t="shared" si="44"/>
        <v>0</v>
      </c>
      <c r="V74" s="19">
        <f t="shared" si="45"/>
        <v>0</v>
      </c>
      <c r="W74" s="39">
        <f>'Setoran 3'!I74</f>
        <v>0</v>
      </c>
      <c r="X74" s="19">
        <f t="shared" si="46"/>
        <v>0</v>
      </c>
      <c r="Y74" s="19">
        <f t="shared" si="47"/>
        <v>0</v>
      </c>
      <c r="Z74" s="39">
        <f>'Setoran 3'!J74</f>
        <v>0</v>
      </c>
      <c r="AA74" s="19">
        <f t="shared" si="48"/>
        <v>0</v>
      </c>
      <c r="AB74" s="19">
        <f t="shared" si="49"/>
        <v>0</v>
      </c>
      <c r="AC74" s="39">
        <f>'Setoran 3'!K74</f>
        <v>0</v>
      </c>
      <c r="AD74" s="19">
        <f t="shared" si="50"/>
        <v>0</v>
      </c>
      <c r="AE74" s="19">
        <f t="shared" si="51"/>
        <v>0</v>
      </c>
      <c r="AF74" s="38">
        <f>'Setoran 3'!L74</f>
        <v>0</v>
      </c>
      <c r="AG74" s="19">
        <f t="shared" si="52"/>
        <v>0</v>
      </c>
      <c r="AH74" s="19">
        <f t="shared" si="53"/>
        <v>0</v>
      </c>
      <c r="AI74" s="38">
        <f>'Setoran 3'!M74</f>
        <v>0</v>
      </c>
      <c r="AJ74" s="19">
        <f t="shared" si="54"/>
        <v>0</v>
      </c>
      <c r="AK74" s="19">
        <f t="shared" si="55"/>
        <v>0</v>
      </c>
      <c r="AL74" s="38">
        <f>'Setoran 3'!N74</f>
        <v>0</v>
      </c>
      <c r="AM74" s="19">
        <f t="shared" si="56"/>
        <v>0</v>
      </c>
      <c r="AN74" s="19">
        <f t="shared" si="57"/>
        <v>0</v>
      </c>
      <c r="AO74" s="38">
        <f>'Setoran 3'!O74</f>
        <v>0</v>
      </c>
      <c r="AP74" s="19">
        <f t="shared" si="58"/>
        <v>0</v>
      </c>
      <c r="AQ74" s="19">
        <f t="shared" si="59"/>
        <v>0</v>
      </c>
      <c r="AR74" s="38">
        <f>'Setoran 3'!P74</f>
        <v>0</v>
      </c>
      <c r="AS74" s="19">
        <f t="shared" si="60"/>
        <v>0</v>
      </c>
      <c r="AT74" s="19">
        <f t="shared" si="61"/>
        <v>0</v>
      </c>
      <c r="AU74" s="38">
        <f>'Setoran 3'!Q74</f>
        <v>0</v>
      </c>
      <c r="AV74" s="19">
        <f t="shared" si="62"/>
        <v>0</v>
      </c>
      <c r="AW74" s="19">
        <f t="shared" si="63"/>
        <v>0</v>
      </c>
      <c r="AX74" s="39">
        <f t="shared" si="64"/>
        <v>0</v>
      </c>
      <c r="AY74" s="38">
        <f t="shared" si="65"/>
        <v>0</v>
      </c>
      <c r="AZ74" s="21">
        <f t="shared" si="66"/>
        <v>0</v>
      </c>
      <c r="BA74" s="22">
        <f t="shared" si="67"/>
        <v>0</v>
      </c>
    </row>
    <row r="75" spans="1:53" ht="14.5" customHeight="1" x14ac:dyDescent="0.2">
      <c r="A75" s="71">
        <v>12</v>
      </c>
      <c r="B75" s="53" t="s">
        <v>108</v>
      </c>
      <c r="C75" s="67">
        <v>3300</v>
      </c>
      <c r="D75" s="68">
        <v>3500</v>
      </c>
      <c r="E75" s="39">
        <f>'Setoran 3'!C75</f>
        <v>0</v>
      </c>
      <c r="F75" s="19">
        <f t="shared" si="34"/>
        <v>0</v>
      </c>
      <c r="G75" s="19">
        <f t="shared" si="35"/>
        <v>0</v>
      </c>
      <c r="H75" s="39">
        <f>'Setoran 3'!D75</f>
        <v>0</v>
      </c>
      <c r="I75" s="19">
        <f t="shared" si="36"/>
        <v>0</v>
      </c>
      <c r="J75" s="19">
        <f t="shared" si="37"/>
        <v>0</v>
      </c>
      <c r="K75" s="39">
        <f>'Setoran 3'!E75</f>
        <v>0</v>
      </c>
      <c r="L75" s="19">
        <f t="shared" si="38"/>
        <v>0</v>
      </c>
      <c r="M75" s="19">
        <f t="shared" si="39"/>
        <v>0</v>
      </c>
      <c r="N75" s="39">
        <f>'Setoran 3'!F75</f>
        <v>0</v>
      </c>
      <c r="O75" s="19">
        <f t="shared" si="40"/>
        <v>0</v>
      </c>
      <c r="P75" s="19">
        <f t="shared" si="41"/>
        <v>0</v>
      </c>
      <c r="Q75" s="39">
        <f>'Setoran 3'!G75</f>
        <v>0</v>
      </c>
      <c r="R75" s="19">
        <f t="shared" si="42"/>
        <v>0</v>
      </c>
      <c r="S75" s="19">
        <f t="shared" si="43"/>
        <v>0</v>
      </c>
      <c r="T75" s="39">
        <f>'Setoran 3'!H75</f>
        <v>0</v>
      </c>
      <c r="U75" s="19">
        <f t="shared" si="44"/>
        <v>0</v>
      </c>
      <c r="V75" s="19">
        <f t="shared" si="45"/>
        <v>0</v>
      </c>
      <c r="W75" s="39">
        <f>'Setoran 3'!I75</f>
        <v>0</v>
      </c>
      <c r="X75" s="19">
        <f t="shared" si="46"/>
        <v>0</v>
      </c>
      <c r="Y75" s="19">
        <f t="shared" si="47"/>
        <v>0</v>
      </c>
      <c r="Z75" s="39">
        <f>'Setoran 3'!J75</f>
        <v>0</v>
      </c>
      <c r="AA75" s="19">
        <f t="shared" si="48"/>
        <v>0</v>
      </c>
      <c r="AB75" s="19">
        <f t="shared" si="49"/>
        <v>0</v>
      </c>
      <c r="AC75" s="39">
        <f>'Setoran 3'!K75</f>
        <v>0</v>
      </c>
      <c r="AD75" s="19">
        <f t="shared" si="50"/>
        <v>0</v>
      </c>
      <c r="AE75" s="19">
        <f t="shared" si="51"/>
        <v>0</v>
      </c>
      <c r="AF75" s="38">
        <f>'Setoran 3'!L75</f>
        <v>0</v>
      </c>
      <c r="AG75" s="19">
        <f t="shared" si="52"/>
        <v>0</v>
      </c>
      <c r="AH75" s="19">
        <f t="shared" si="53"/>
        <v>0</v>
      </c>
      <c r="AI75" s="38">
        <f>'Setoran 3'!M75</f>
        <v>0</v>
      </c>
      <c r="AJ75" s="19">
        <f t="shared" si="54"/>
        <v>0</v>
      </c>
      <c r="AK75" s="19">
        <f t="shared" si="55"/>
        <v>0</v>
      </c>
      <c r="AL75" s="38">
        <f>'Setoran 3'!N75</f>
        <v>0</v>
      </c>
      <c r="AM75" s="19">
        <f t="shared" si="56"/>
        <v>0</v>
      </c>
      <c r="AN75" s="19">
        <f t="shared" si="57"/>
        <v>0</v>
      </c>
      <c r="AO75" s="38">
        <f>'Setoran 3'!O75</f>
        <v>0</v>
      </c>
      <c r="AP75" s="19">
        <f t="shared" si="58"/>
        <v>0</v>
      </c>
      <c r="AQ75" s="19">
        <f t="shared" si="59"/>
        <v>0</v>
      </c>
      <c r="AR75" s="38">
        <f>'Setoran 3'!P75</f>
        <v>0</v>
      </c>
      <c r="AS75" s="19">
        <f t="shared" si="60"/>
        <v>0</v>
      </c>
      <c r="AT75" s="19">
        <f t="shared" si="61"/>
        <v>0</v>
      </c>
      <c r="AU75" s="38">
        <f>'Setoran 3'!Q75</f>
        <v>0</v>
      </c>
      <c r="AV75" s="19">
        <f t="shared" si="62"/>
        <v>0</v>
      </c>
      <c r="AW75" s="19">
        <f t="shared" si="63"/>
        <v>0</v>
      </c>
      <c r="AX75" s="39">
        <f t="shared" si="64"/>
        <v>0</v>
      </c>
      <c r="AY75" s="38">
        <f t="shared" si="65"/>
        <v>0</v>
      </c>
      <c r="AZ75" s="21">
        <f t="shared" si="66"/>
        <v>0</v>
      </c>
      <c r="BA75" s="22">
        <f t="shared" si="67"/>
        <v>0</v>
      </c>
    </row>
    <row r="76" spans="1:53" ht="14.5" customHeight="1" x14ac:dyDescent="0.2">
      <c r="A76" s="23"/>
      <c r="B76" s="25"/>
      <c r="C76" s="45"/>
      <c r="D76" s="45"/>
      <c r="E76" s="18"/>
      <c r="F76" s="19"/>
      <c r="G76" s="19"/>
      <c r="H76" s="18"/>
      <c r="I76" s="19"/>
      <c r="J76" s="19"/>
      <c r="K76" s="18"/>
      <c r="L76" s="19"/>
      <c r="M76" s="19"/>
      <c r="N76" s="18"/>
      <c r="O76" s="19"/>
      <c r="P76" s="19"/>
      <c r="Q76" s="18"/>
      <c r="R76" s="19"/>
      <c r="S76" s="19"/>
      <c r="T76" s="18"/>
      <c r="U76" s="19"/>
      <c r="V76" s="19"/>
      <c r="W76" s="18"/>
      <c r="X76" s="19"/>
      <c r="Y76" s="19"/>
      <c r="Z76" s="18"/>
      <c r="AA76" s="19"/>
      <c r="AB76" s="19"/>
      <c r="AC76" s="18"/>
      <c r="AD76" s="19"/>
      <c r="AE76" s="19"/>
      <c r="AF76" s="31"/>
      <c r="AG76" s="19"/>
      <c r="AH76" s="19"/>
      <c r="AI76" s="31"/>
      <c r="AJ76" s="19"/>
      <c r="AK76" s="19"/>
      <c r="AL76" s="31"/>
      <c r="AM76" s="19"/>
      <c r="AN76" s="19"/>
      <c r="AO76" s="31"/>
      <c r="AP76" s="19"/>
      <c r="AQ76" s="19"/>
      <c r="AR76" s="31"/>
      <c r="AS76" s="19"/>
      <c r="AT76" s="19"/>
      <c r="AU76" s="31"/>
      <c r="AV76" s="19"/>
      <c r="AW76" s="19"/>
      <c r="AX76" s="18"/>
      <c r="AY76" s="20"/>
      <c r="AZ76" s="21"/>
      <c r="BA76" s="22"/>
    </row>
    <row r="77" spans="1:53" s="36" customFormat="1" ht="14.5" customHeight="1" x14ac:dyDescent="0.2">
      <c r="A77" s="78" t="str">
        <f>'Data '!A74</f>
        <v>TOTAL</v>
      </c>
      <c r="B77" s="78"/>
      <c r="C77" s="78"/>
      <c r="D77" s="78"/>
      <c r="E77" s="33">
        <f t="shared" ref="E77:AW77" si="68">SUM(E8:E76)</f>
        <v>0</v>
      </c>
      <c r="F77" s="34">
        <f t="shared" si="68"/>
        <v>0</v>
      </c>
      <c r="G77" s="34">
        <f t="shared" si="68"/>
        <v>0</v>
      </c>
      <c r="H77" s="33">
        <f t="shared" si="68"/>
        <v>0</v>
      </c>
      <c r="I77" s="34">
        <f t="shared" si="68"/>
        <v>0</v>
      </c>
      <c r="J77" s="34">
        <f t="shared" si="68"/>
        <v>0</v>
      </c>
      <c r="K77" s="33">
        <f t="shared" si="68"/>
        <v>0</v>
      </c>
      <c r="L77" s="34">
        <f t="shared" si="68"/>
        <v>0</v>
      </c>
      <c r="M77" s="34">
        <f t="shared" si="68"/>
        <v>0</v>
      </c>
      <c r="N77" s="33">
        <f t="shared" si="68"/>
        <v>0</v>
      </c>
      <c r="O77" s="34">
        <f t="shared" si="68"/>
        <v>0</v>
      </c>
      <c r="P77" s="34">
        <f t="shared" si="68"/>
        <v>0</v>
      </c>
      <c r="Q77" s="33">
        <f t="shared" si="68"/>
        <v>0</v>
      </c>
      <c r="R77" s="34">
        <f t="shared" si="68"/>
        <v>0</v>
      </c>
      <c r="S77" s="34">
        <f t="shared" si="68"/>
        <v>0</v>
      </c>
      <c r="T77" s="33">
        <f t="shared" si="68"/>
        <v>0</v>
      </c>
      <c r="U77" s="34">
        <f t="shared" si="68"/>
        <v>0</v>
      </c>
      <c r="V77" s="34">
        <f t="shared" si="68"/>
        <v>0</v>
      </c>
      <c r="W77" s="33">
        <f t="shared" si="68"/>
        <v>0</v>
      </c>
      <c r="X77" s="34">
        <f t="shared" si="68"/>
        <v>0</v>
      </c>
      <c r="Y77" s="34">
        <f t="shared" si="68"/>
        <v>0</v>
      </c>
      <c r="Z77" s="33">
        <f t="shared" si="68"/>
        <v>0</v>
      </c>
      <c r="AA77" s="34">
        <f t="shared" si="68"/>
        <v>0</v>
      </c>
      <c r="AB77" s="34">
        <f t="shared" si="68"/>
        <v>0</v>
      </c>
      <c r="AC77" s="33">
        <f t="shared" si="68"/>
        <v>0</v>
      </c>
      <c r="AD77" s="34">
        <f t="shared" si="68"/>
        <v>0</v>
      </c>
      <c r="AE77" s="34">
        <f t="shared" si="68"/>
        <v>0</v>
      </c>
      <c r="AF77" s="33">
        <f t="shared" si="68"/>
        <v>0</v>
      </c>
      <c r="AG77" s="34">
        <f t="shared" si="68"/>
        <v>0</v>
      </c>
      <c r="AH77" s="34">
        <f t="shared" si="68"/>
        <v>0</v>
      </c>
      <c r="AI77" s="33">
        <f t="shared" si="68"/>
        <v>0</v>
      </c>
      <c r="AJ77" s="34">
        <f t="shared" si="68"/>
        <v>0</v>
      </c>
      <c r="AK77" s="34">
        <f t="shared" si="68"/>
        <v>0</v>
      </c>
      <c r="AL77" s="33">
        <f t="shared" si="68"/>
        <v>0</v>
      </c>
      <c r="AM77" s="34">
        <f t="shared" si="68"/>
        <v>0</v>
      </c>
      <c r="AN77" s="34">
        <f t="shared" si="68"/>
        <v>0</v>
      </c>
      <c r="AO77" s="33">
        <f t="shared" si="68"/>
        <v>0</v>
      </c>
      <c r="AP77" s="34">
        <f t="shared" si="68"/>
        <v>0</v>
      </c>
      <c r="AQ77" s="34">
        <f t="shared" si="68"/>
        <v>0</v>
      </c>
      <c r="AR77" s="33">
        <f t="shared" si="68"/>
        <v>0</v>
      </c>
      <c r="AS77" s="34">
        <f t="shared" si="68"/>
        <v>0</v>
      </c>
      <c r="AT77" s="34">
        <f t="shared" si="68"/>
        <v>0</v>
      </c>
      <c r="AU77" s="35">
        <f t="shared" si="68"/>
        <v>0</v>
      </c>
      <c r="AV77" s="34">
        <f t="shared" si="68"/>
        <v>0</v>
      </c>
      <c r="AW77" s="34">
        <f t="shared" si="68"/>
        <v>0</v>
      </c>
      <c r="AX77" s="33">
        <f>SUM(AX8:AX76)</f>
        <v>0</v>
      </c>
      <c r="AY77" s="33">
        <f>SUM(AY8:AY76)</f>
        <v>0</v>
      </c>
      <c r="AZ77" s="34">
        <f>SUM(AZ8:AZ76)</f>
        <v>0</v>
      </c>
      <c r="BA77" s="34">
        <f>SUM(BA8:BA76)</f>
        <v>0</v>
      </c>
    </row>
    <row r="78" spans="1:53" ht="14.5" customHeight="1" x14ac:dyDescent="0.2">
      <c r="A78" s="5" t="s">
        <v>54</v>
      </c>
      <c r="B78" s="5"/>
      <c r="C78" s="44"/>
      <c r="D78" s="44"/>
      <c r="E78" s="18"/>
      <c r="F78" s="19"/>
      <c r="G78" s="19"/>
      <c r="H78" s="18"/>
      <c r="I78" s="19"/>
      <c r="J78" s="19"/>
      <c r="K78" s="18"/>
      <c r="L78" s="19"/>
      <c r="M78" s="19"/>
      <c r="N78" s="18"/>
      <c r="O78" s="19"/>
      <c r="P78" s="19"/>
      <c r="Q78" s="18"/>
      <c r="R78" s="19"/>
      <c r="S78" s="19"/>
      <c r="T78" s="18"/>
      <c r="U78" s="19"/>
      <c r="V78" s="19"/>
      <c r="W78" s="18"/>
      <c r="X78" s="19"/>
      <c r="Y78" s="19"/>
      <c r="Z78" s="18"/>
      <c r="AA78" s="19"/>
      <c r="AB78" s="19"/>
      <c r="AC78" s="18"/>
      <c r="AD78" s="19"/>
      <c r="AE78" s="19"/>
      <c r="AF78" s="31"/>
      <c r="AG78" s="19"/>
      <c r="AH78" s="19"/>
      <c r="AI78" s="31"/>
      <c r="AJ78" s="19"/>
      <c r="AK78" s="19"/>
      <c r="AL78" s="31"/>
      <c r="AM78" s="19"/>
      <c r="AN78" s="19"/>
      <c r="AO78" s="31"/>
      <c r="AP78" s="19"/>
      <c r="AQ78" s="19"/>
      <c r="AR78" s="31"/>
      <c r="AS78" s="19"/>
      <c r="AT78" s="19"/>
      <c r="AU78" s="31"/>
      <c r="AV78" s="19"/>
      <c r="AW78" s="19"/>
      <c r="AX78" s="27"/>
      <c r="AY78" s="20"/>
      <c r="AZ78" s="21"/>
      <c r="BA78" s="28"/>
    </row>
    <row r="79" spans="1:53" ht="14.5" customHeight="1" x14ac:dyDescent="0.2">
      <c r="A79" s="27"/>
      <c r="B79" s="28"/>
      <c r="C79" s="46"/>
      <c r="D79" s="46"/>
      <c r="E79" s="18"/>
      <c r="F79" s="19"/>
      <c r="G79" s="19"/>
      <c r="H79" s="18"/>
      <c r="I79" s="19"/>
      <c r="J79" s="19"/>
      <c r="K79" s="18"/>
      <c r="L79" s="19"/>
      <c r="M79" s="19"/>
      <c r="N79" s="18"/>
      <c r="O79" s="19"/>
      <c r="P79" s="19"/>
      <c r="Q79" s="18"/>
      <c r="R79" s="19"/>
      <c r="S79" s="19"/>
      <c r="T79" s="18"/>
      <c r="U79" s="19"/>
      <c r="V79" s="19"/>
      <c r="W79" s="18"/>
      <c r="X79" s="19"/>
      <c r="Y79" s="19"/>
      <c r="Z79" s="18"/>
      <c r="AA79" s="19"/>
      <c r="AB79" s="19"/>
      <c r="AC79" s="18"/>
      <c r="AD79" s="19"/>
      <c r="AE79" s="19"/>
      <c r="AF79" s="31"/>
      <c r="AG79" s="19"/>
      <c r="AH79" s="19"/>
      <c r="AI79" s="31"/>
      <c r="AJ79" s="19"/>
      <c r="AK79" s="19"/>
      <c r="AL79" s="31"/>
      <c r="AM79" s="19"/>
      <c r="AN79" s="19"/>
      <c r="AO79" s="31"/>
      <c r="AP79" s="19"/>
      <c r="AQ79" s="19"/>
      <c r="AR79" s="31"/>
      <c r="AS79" s="19"/>
      <c r="AT79" s="19"/>
      <c r="AU79" s="31"/>
      <c r="AV79" s="19"/>
      <c r="AW79" s="19"/>
      <c r="AX79" s="27"/>
      <c r="AY79" s="20"/>
      <c r="AZ79" s="21"/>
      <c r="BA79" s="28"/>
    </row>
    <row r="80" spans="1:53" ht="14.5" customHeight="1" x14ac:dyDescent="0.2">
      <c r="A80" s="27"/>
      <c r="B80" s="28"/>
      <c r="C80" s="46"/>
      <c r="D80" s="46"/>
      <c r="E80" s="18"/>
      <c r="F80" s="19"/>
      <c r="G80" s="19"/>
      <c r="H80" s="18"/>
      <c r="I80" s="19"/>
      <c r="J80" s="19"/>
      <c r="K80" s="18"/>
      <c r="L80" s="19"/>
      <c r="M80" s="19"/>
      <c r="N80" s="18"/>
      <c r="O80" s="19"/>
      <c r="P80" s="19"/>
      <c r="Q80" s="18"/>
      <c r="R80" s="19"/>
      <c r="S80" s="19"/>
      <c r="T80" s="18"/>
      <c r="U80" s="19"/>
      <c r="V80" s="19"/>
      <c r="W80" s="18"/>
      <c r="X80" s="19"/>
      <c r="Y80" s="19"/>
      <c r="Z80" s="18"/>
      <c r="AA80" s="19"/>
      <c r="AB80" s="19"/>
      <c r="AC80" s="18"/>
      <c r="AD80" s="19"/>
      <c r="AE80" s="19"/>
      <c r="AF80" s="31"/>
      <c r="AG80" s="19"/>
      <c r="AH80" s="19"/>
      <c r="AI80" s="31"/>
      <c r="AJ80" s="19"/>
      <c r="AK80" s="19"/>
      <c r="AL80" s="31"/>
      <c r="AM80" s="19"/>
      <c r="AN80" s="19"/>
      <c r="AO80" s="31"/>
      <c r="AP80" s="19"/>
      <c r="AQ80" s="19"/>
      <c r="AR80" s="31"/>
      <c r="AS80" s="19"/>
      <c r="AT80" s="19"/>
      <c r="AU80" s="31"/>
      <c r="AV80" s="19"/>
      <c r="AW80" s="19"/>
      <c r="AX80" s="27"/>
      <c r="AY80" s="20"/>
      <c r="AZ80" s="21"/>
      <c r="BA80" s="28"/>
    </row>
  </sheetData>
  <sheetProtection algorithmName="SHA-512" hashValue="64ovj9pPjagus3jtw7fzxrMdELhbfJx0zByqdz7axdh9Ybzl0lHhcde9AYv6CqHXMPo/ityvtP7OkbyBpx1vKA==" saltValue="0CrLU5C2c9Xwkn7kwP5O+A==" spinCount="100000" sheet="1" objects="1" scenarios="1"/>
  <mergeCells count="31">
    <mergeCell ref="T5:V5"/>
    <mergeCell ref="A1:V1"/>
    <mergeCell ref="A2:L2"/>
    <mergeCell ref="A4:A6"/>
    <mergeCell ref="B4:B6"/>
    <mergeCell ref="C4:C6"/>
    <mergeCell ref="D4:D6"/>
    <mergeCell ref="E4:AW4"/>
    <mergeCell ref="W5:Y5"/>
    <mergeCell ref="Z5:AB5"/>
    <mergeCell ref="AC5:AE5"/>
    <mergeCell ref="E5:G5"/>
    <mergeCell ref="H5:J5"/>
    <mergeCell ref="K5:M5"/>
    <mergeCell ref="N5:P5"/>
    <mergeCell ref="Q5:S5"/>
    <mergeCell ref="AU5:AW5"/>
    <mergeCell ref="AX4:AX6"/>
    <mergeCell ref="AY4:AY6"/>
    <mergeCell ref="AZ4:AZ6"/>
    <mergeCell ref="BA4:BA6"/>
    <mergeCell ref="AF5:AH5"/>
    <mergeCell ref="AI5:AK5"/>
    <mergeCell ref="AL5:AN5"/>
    <mergeCell ref="AO5:AQ5"/>
    <mergeCell ref="AR5:AT5"/>
    <mergeCell ref="A77:D77"/>
    <mergeCell ref="A7:B7"/>
    <mergeCell ref="A15:B15"/>
    <mergeCell ref="A27:B27"/>
    <mergeCell ref="A31:B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D9A4-383A-4BAB-8DCF-1E8A77E977A9}">
  <dimension ref="A1:E80"/>
  <sheetViews>
    <sheetView topLeftCell="A7" zoomScale="160" zoomScaleNormal="160" workbookViewId="0">
      <selection activeCell="D71" sqref="D71"/>
    </sheetView>
  </sheetViews>
  <sheetFormatPr baseColWidth="10" defaultColWidth="8.83203125" defaultRowHeight="15" x14ac:dyDescent="0.2"/>
  <cols>
    <col min="1" max="1" width="8.83203125" style="15"/>
    <col min="2" max="2" width="18.33203125" style="15" customWidth="1"/>
    <col min="3" max="3" width="11.5" style="47" bestFit="1" customWidth="1"/>
    <col min="4" max="4" width="10.83203125" style="12" customWidth="1"/>
    <col min="5" max="5" width="15.83203125" style="14" customWidth="1"/>
    <col min="6" max="16384" width="8.83203125" style="15"/>
  </cols>
  <sheetData>
    <row r="1" spans="1:5" ht="31.25" customHeight="1" x14ac:dyDescent="0.2">
      <c r="A1" s="80" t="str">
        <f>'Setoran 1'!A1:R1</f>
        <v>REKAP JUAL BELI SAMPAH NASABAH BALI ARUM (BALI WASTE CYCLE)</v>
      </c>
      <c r="B1" s="80"/>
      <c r="C1" s="80"/>
      <c r="D1" s="80"/>
      <c r="E1" s="80"/>
    </row>
    <row r="2" spans="1:5" ht="18" customHeight="1" x14ac:dyDescent="0.2">
      <c r="A2" s="80" t="str">
        <f>'Data '!A2</f>
        <v>TANGGAL : 8 Agustus2026</v>
      </c>
      <c r="B2" s="80"/>
      <c r="C2" s="80"/>
      <c r="D2" s="80"/>
      <c r="E2" s="80"/>
    </row>
    <row r="4" spans="1:5" s="12" customFormat="1" ht="14.5" customHeight="1" x14ac:dyDescent="0.2">
      <c r="A4" s="83" t="s">
        <v>63</v>
      </c>
      <c r="B4" s="83" t="s">
        <v>62</v>
      </c>
      <c r="C4" s="84" t="s">
        <v>3</v>
      </c>
      <c r="D4" s="81" t="s">
        <v>53</v>
      </c>
      <c r="E4" s="82" t="s">
        <v>65</v>
      </c>
    </row>
    <row r="5" spans="1:5" s="12" customFormat="1" ht="14.5" customHeight="1" x14ac:dyDescent="0.2">
      <c r="A5" s="83"/>
      <c r="B5" s="83"/>
      <c r="C5" s="84"/>
      <c r="D5" s="81"/>
      <c r="E5" s="82"/>
    </row>
    <row r="6" spans="1:5" s="12" customFormat="1" ht="29" customHeight="1" x14ac:dyDescent="0.2">
      <c r="A6" s="83"/>
      <c r="B6" s="83"/>
      <c r="C6" s="84"/>
      <c r="D6" s="81"/>
      <c r="E6" s="82"/>
    </row>
    <row r="7" spans="1:5" ht="14.5" customHeight="1" x14ac:dyDescent="0.2">
      <c r="A7" s="78" t="str">
        <f>'Data '!A7</f>
        <v>PLASTIK</v>
      </c>
      <c r="B7" s="78"/>
      <c r="C7" s="78"/>
      <c r="D7" s="28"/>
      <c r="E7" s="28"/>
    </row>
    <row r="8" spans="1:5" ht="14.5" customHeight="1" x14ac:dyDescent="0.2">
      <c r="A8" s="23">
        <v>1</v>
      </c>
      <c r="B8" s="53" t="s">
        <v>72</v>
      </c>
      <c r="C8" s="57">
        <f>'Data '!D8</f>
        <v>500</v>
      </c>
      <c r="D8" s="18">
        <f>'Rekap 1'!AX8+'Rekap 2'!AX8+'Rekap 3'!AX8</f>
        <v>4.08</v>
      </c>
      <c r="E8" s="21">
        <f>C8*D8</f>
        <v>2040</v>
      </c>
    </row>
    <row r="9" spans="1:5" ht="14.5" customHeight="1" x14ac:dyDescent="0.2">
      <c r="A9" s="23">
        <v>2</v>
      </c>
      <c r="B9" s="53" t="s">
        <v>5</v>
      </c>
      <c r="C9" s="57">
        <f>'Data '!D9</f>
        <v>500</v>
      </c>
      <c r="D9" s="18">
        <f>'Rekap 1'!AX9+'Rekap 2'!AX9+'Rekap 3'!AX9</f>
        <v>0</v>
      </c>
      <c r="E9" s="21">
        <f t="shared" ref="E9:E72" si="0">C9*D9</f>
        <v>0</v>
      </c>
    </row>
    <row r="10" spans="1:5" ht="14.5" customHeight="1" x14ac:dyDescent="0.2">
      <c r="A10" s="23">
        <v>3</v>
      </c>
      <c r="B10" s="53" t="s">
        <v>73</v>
      </c>
      <c r="C10" s="57">
        <f>'Data '!D10</f>
        <v>400</v>
      </c>
      <c r="D10" s="18">
        <f>'Rekap 1'!AX10+'Rekap 2'!AX10+'Rekap 3'!AX10</f>
        <v>0</v>
      </c>
      <c r="E10" s="21">
        <f t="shared" si="0"/>
        <v>0</v>
      </c>
    </row>
    <row r="11" spans="1:5" ht="14.5" customHeight="1" x14ac:dyDescent="0.2">
      <c r="A11" s="23">
        <v>4</v>
      </c>
      <c r="B11" s="53" t="s">
        <v>6</v>
      </c>
      <c r="C11" s="57">
        <f>'Data '!D11</f>
        <v>3000</v>
      </c>
      <c r="D11" s="18">
        <f>'Rekap 1'!AX11+'Rekap 2'!AX11+'Rekap 3'!AX11</f>
        <v>0</v>
      </c>
      <c r="E11" s="21">
        <f t="shared" si="0"/>
        <v>0</v>
      </c>
    </row>
    <row r="12" spans="1:5" ht="14.5" customHeight="1" x14ac:dyDescent="0.2">
      <c r="A12" s="23">
        <v>5</v>
      </c>
      <c r="B12" s="53" t="s">
        <v>7</v>
      </c>
      <c r="C12" s="57">
        <f>'Data '!D12</f>
        <v>2500</v>
      </c>
      <c r="D12" s="18">
        <f>'Rekap 1'!AX12+'Rekap 2'!AX12+'Rekap 3'!AX12</f>
        <v>13.64</v>
      </c>
      <c r="E12" s="21">
        <f t="shared" si="0"/>
        <v>34100</v>
      </c>
    </row>
    <row r="13" spans="1:5" ht="14.5" customHeight="1" x14ac:dyDescent="0.2">
      <c r="A13" s="23">
        <v>6</v>
      </c>
      <c r="B13" s="53" t="s">
        <v>8</v>
      </c>
      <c r="C13" s="57">
        <f>'Data '!D13</f>
        <v>800</v>
      </c>
      <c r="D13" s="18">
        <f>'Rekap 1'!AX13+'Rekap 2'!AX13+'Rekap 3'!AX13</f>
        <v>0</v>
      </c>
      <c r="E13" s="21">
        <f t="shared" si="0"/>
        <v>0</v>
      </c>
    </row>
    <row r="14" spans="1:5" ht="14.5" customHeight="1" x14ac:dyDescent="0.2">
      <c r="A14" s="23">
        <v>7</v>
      </c>
      <c r="B14" s="53" t="s">
        <v>9</v>
      </c>
      <c r="C14" s="57">
        <f>'Data '!D14</f>
        <v>1700</v>
      </c>
      <c r="D14" s="18">
        <f>'Rekap 1'!AX14+'Rekap 2'!AX14+'Rekap 3'!AX14</f>
        <v>6.9700000000000006</v>
      </c>
      <c r="E14" s="21">
        <f t="shared" ref="E14" si="1">C14*D14</f>
        <v>11849.000000000002</v>
      </c>
    </row>
    <row r="15" spans="1:5" ht="14.5" customHeight="1" x14ac:dyDescent="0.2">
      <c r="A15" s="78" t="s">
        <v>74</v>
      </c>
      <c r="B15" s="78"/>
      <c r="C15" s="62"/>
      <c r="D15" s="18"/>
      <c r="E15" s="21"/>
    </row>
    <row r="16" spans="1:5" ht="14.5" customHeight="1" x14ac:dyDescent="0.2">
      <c r="A16" s="54">
        <v>1</v>
      </c>
      <c r="B16" s="53" t="s">
        <v>10</v>
      </c>
      <c r="C16" s="57">
        <f>'Data '!D15</f>
        <v>2000</v>
      </c>
      <c r="D16" s="18">
        <f>'Rekap 1'!AX16+'Rekap 2'!AX16+'Rekap 3'!AX16</f>
        <v>8.8800000000000008</v>
      </c>
      <c r="E16" s="21">
        <f t="shared" si="0"/>
        <v>17760</v>
      </c>
    </row>
    <row r="17" spans="1:5" ht="14.5" customHeight="1" x14ac:dyDescent="0.2">
      <c r="A17" s="54">
        <v>2</v>
      </c>
      <c r="B17" s="53" t="s">
        <v>75</v>
      </c>
      <c r="C17" s="57">
        <f>'Data '!D16</f>
        <v>2500</v>
      </c>
      <c r="D17" s="18">
        <f>'Rekap 1'!AX17+'Rekap 2'!AX17+'Rekap 3'!AX17</f>
        <v>0.24</v>
      </c>
      <c r="E17" s="21">
        <f t="shared" si="0"/>
        <v>600</v>
      </c>
    </row>
    <row r="18" spans="1:5" ht="14.5" customHeight="1" x14ac:dyDescent="0.2">
      <c r="A18" s="54">
        <v>3</v>
      </c>
      <c r="B18" s="61" t="s">
        <v>76</v>
      </c>
      <c r="C18" s="57">
        <f>'Data '!D17</f>
        <v>2000</v>
      </c>
      <c r="D18" s="18">
        <f>'Rekap 1'!AX18+'Rekap 2'!AX18+'Rekap 3'!AX18</f>
        <v>0</v>
      </c>
      <c r="E18" s="21">
        <f t="shared" si="0"/>
        <v>0</v>
      </c>
    </row>
    <row r="19" spans="1:5" ht="14.5" customHeight="1" x14ac:dyDescent="0.2">
      <c r="A19" s="54">
        <v>4</v>
      </c>
      <c r="B19" s="53" t="s">
        <v>11</v>
      </c>
      <c r="C19" s="57">
        <f>'Data '!D18</f>
        <v>2000</v>
      </c>
      <c r="D19" s="18">
        <f>'Rekap 1'!AX19+'Rekap 2'!AX19+'Rekap 3'!AX19</f>
        <v>0.68</v>
      </c>
      <c r="E19" s="21">
        <f t="shared" si="0"/>
        <v>1360</v>
      </c>
    </row>
    <row r="20" spans="1:5" ht="14.5" customHeight="1" x14ac:dyDescent="0.2">
      <c r="A20" s="54">
        <v>5</v>
      </c>
      <c r="B20" s="53" t="s">
        <v>12</v>
      </c>
      <c r="C20" s="57">
        <f>'Data '!D19</f>
        <v>1800</v>
      </c>
      <c r="D20" s="18">
        <f>'Rekap 1'!AX20+'Rekap 2'!AX20+'Rekap 3'!AX20</f>
        <v>1.82</v>
      </c>
      <c r="E20" s="21">
        <f t="shared" si="0"/>
        <v>3276</v>
      </c>
    </row>
    <row r="21" spans="1:5" ht="14.5" customHeight="1" x14ac:dyDescent="0.2">
      <c r="A21" s="54">
        <v>6</v>
      </c>
      <c r="B21" s="53" t="s">
        <v>13</v>
      </c>
      <c r="C21" s="57">
        <f>'Data '!D20</f>
        <v>0</v>
      </c>
      <c r="D21" s="18">
        <f>'Rekap 1'!AX21+'Rekap 2'!AX21+'Rekap 3'!AX21</f>
        <v>0</v>
      </c>
      <c r="E21" s="21">
        <f t="shared" si="0"/>
        <v>0</v>
      </c>
    </row>
    <row r="22" spans="1:5" ht="14.5" customHeight="1" x14ac:dyDescent="0.2">
      <c r="A22" s="54">
        <v>7</v>
      </c>
      <c r="B22" s="53" t="s">
        <v>14</v>
      </c>
      <c r="C22" s="57">
        <f>'Data '!D21</f>
        <v>1000</v>
      </c>
      <c r="D22" s="18">
        <f>'Rekap 1'!AX22+'Rekap 2'!AX22+'Rekap 3'!AX22</f>
        <v>3.84</v>
      </c>
      <c r="E22" s="21">
        <f t="shared" si="0"/>
        <v>3840</v>
      </c>
    </row>
    <row r="23" spans="1:5" ht="14.5" customHeight="1" x14ac:dyDescent="0.2">
      <c r="A23" s="54">
        <v>8</v>
      </c>
      <c r="B23" s="53" t="s">
        <v>15</v>
      </c>
      <c r="C23" s="57">
        <f>'Data '!D22</f>
        <v>1000</v>
      </c>
      <c r="D23" s="18">
        <f>'Rekap 1'!AX23+'Rekap 2'!AX23+'Rekap 3'!AX23</f>
        <v>0.87</v>
      </c>
      <c r="E23" s="21">
        <f t="shared" si="0"/>
        <v>870</v>
      </c>
    </row>
    <row r="24" spans="1:5" ht="14.5" customHeight="1" x14ac:dyDescent="0.2">
      <c r="A24" s="54">
        <v>9</v>
      </c>
      <c r="B24" s="53" t="s">
        <v>16</v>
      </c>
      <c r="C24" s="57">
        <f>'Data '!D23</f>
        <v>1000</v>
      </c>
      <c r="D24" s="18">
        <f>'Rekap 1'!AX24+'Rekap 2'!AX24+'Rekap 3'!AX24</f>
        <v>0</v>
      </c>
      <c r="E24" s="21">
        <f t="shared" si="0"/>
        <v>0</v>
      </c>
    </row>
    <row r="25" spans="1:5" ht="14.5" customHeight="1" x14ac:dyDescent="0.2">
      <c r="A25" s="54">
        <v>10</v>
      </c>
      <c r="B25" s="53" t="s">
        <v>21</v>
      </c>
      <c r="C25" s="57">
        <f>'Data '!D24</f>
        <v>1500</v>
      </c>
      <c r="D25" s="18">
        <f>'Rekap 1'!AX25+'Rekap 2'!AX25+'Rekap 3'!AX25</f>
        <v>0</v>
      </c>
      <c r="E25" s="21">
        <f t="shared" si="0"/>
        <v>0</v>
      </c>
    </row>
    <row r="26" spans="1:5" ht="14.5" customHeight="1" x14ac:dyDescent="0.2">
      <c r="A26" s="54">
        <v>11</v>
      </c>
      <c r="B26" s="53" t="s">
        <v>22</v>
      </c>
      <c r="C26" s="57">
        <f>'Data '!D25</f>
        <v>1000</v>
      </c>
      <c r="D26" s="18">
        <f>'Rekap 1'!AX26+'Rekap 2'!AX26+'Rekap 3'!AX26</f>
        <v>0</v>
      </c>
      <c r="E26" s="21">
        <f t="shared" si="0"/>
        <v>0</v>
      </c>
    </row>
    <row r="27" spans="1:5" ht="14.5" customHeight="1" x14ac:dyDescent="0.2">
      <c r="A27" s="78" t="s">
        <v>83</v>
      </c>
      <c r="B27" s="78"/>
      <c r="C27" s="62"/>
      <c r="D27" s="18"/>
      <c r="E27" s="21"/>
    </row>
    <row r="28" spans="1:5" ht="14.5" customHeight="1" x14ac:dyDescent="0.2">
      <c r="A28" s="54">
        <v>1</v>
      </c>
      <c r="B28" s="53" t="s">
        <v>17</v>
      </c>
      <c r="C28" s="57">
        <f>'Data '!D26</f>
        <v>1200</v>
      </c>
      <c r="D28" s="18">
        <f>'Rekap 1'!AX28+'Rekap 2'!AX28+'Rekap 3'!AX28</f>
        <v>0</v>
      </c>
      <c r="E28" s="21">
        <f t="shared" si="0"/>
        <v>0</v>
      </c>
    </row>
    <row r="29" spans="1:5" ht="14.5" customHeight="1" x14ac:dyDescent="0.2">
      <c r="A29" s="54">
        <v>2</v>
      </c>
      <c r="B29" s="53" t="s">
        <v>18</v>
      </c>
      <c r="C29" s="57">
        <f>'Data '!D27</f>
        <v>2000</v>
      </c>
      <c r="D29" s="18">
        <f>'Rekap 1'!AX29+'Rekap 2'!AX29+'Rekap 3'!AX29</f>
        <v>0</v>
      </c>
      <c r="E29" s="21">
        <f t="shared" si="0"/>
        <v>0</v>
      </c>
    </row>
    <row r="30" spans="1:5" ht="14.5" customHeight="1" x14ac:dyDescent="0.2">
      <c r="A30" s="54">
        <v>3</v>
      </c>
      <c r="B30" s="53" t="s">
        <v>19</v>
      </c>
      <c r="C30" s="57">
        <f>'Data '!D28</f>
        <v>1000</v>
      </c>
      <c r="D30" s="18">
        <f>'Rekap 1'!AX30+'Rekap 2'!AX30+'Rekap 3'!AX30</f>
        <v>0</v>
      </c>
      <c r="E30" s="21">
        <f t="shared" si="0"/>
        <v>0</v>
      </c>
    </row>
    <row r="31" spans="1:5" ht="14.5" customHeight="1" x14ac:dyDescent="0.2">
      <c r="A31" s="78" t="s">
        <v>85</v>
      </c>
      <c r="B31" s="78"/>
      <c r="C31" s="62"/>
      <c r="D31" s="18"/>
      <c r="E31" s="21"/>
    </row>
    <row r="32" spans="1:5" ht="14.5" customHeight="1" x14ac:dyDescent="0.2">
      <c r="A32" s="54">
        <v>1</v>
      </c>
      <c r="B32" s="53" t="s">
        <v>23</v>
      </c>
      <c r="C32" s="57">
        <f>'Data '!D29</f>
        <v>500</v>
      </c>
      <c r="D32" s="18">
        <f>'Rekap 1'!AX32+'Rekap 2'!AX32+'Rekap 3'!AX32</f>
        <v>4.57</v>
      </c>
      <c r="E32" s="21">
        <f t="shared" si="0"/>
        <v>2285</v>
      </c>
    </row>
    <row r="33" spans="1:5" ht="14.5" customHeight="1" x14ac:dyDescent="0.2">
      <c r="A33" s="54">
        <v>2</v>
      </c>
      <c r="B33" s="53" t="s">
        <v>24</v>
      </c>
      <c r="C33" s="57">
        <f>'Data '!D30</f>
        <v>100</v>
      </c>
      <c r="D33" s="18">
        <f>'Rekap 1'!AX33+'Rekap 2'!AX33+'Rekap 3'!AX33</f>
        <v>6.2200000000000006</v>
      </c>
      <c r="E33" s="21">
        <f t="shared" si="0"/>
        <v>622.00000000000011</v>
      </c>
    </row>
    <row r="34" spans="1:5" ht="14.5" customHeight="1" x14ac:dyDescent="0.2">
      <c r="A34" s="54">
        <v>3</v>
      </c>
      <c r="B34" s="53" t="s">
        <v>25</v>
      </c>
      <c r="C34" s="57">
        <f>'Data '!D31</f>
        <v>100</v>
      </c>
      <c r="D34" s="18">
        <f>'Rekap 1'!AX34+'Rekap 2'!AX34+'Rekap 3'!AX34</f>
        <v>16.329999999999998</v>
      </c>
      <c r="E34" s="21">
        <f t="shared" si="0"/>
        <v>1632.9999999999998</v>
      </c>
    </row>
    <row r="35" spans="1:5" ht="14.5" customHeight="1" x14ac:dyDescent="0.2">
      <c r="A35" s="54">
        <v>4</v>
      </c>
      <c r="B35" s="53" t="s">
        <v>87</v>
      </c>
      <c r="C35" s="57">
        <f>'Data '!D32</f>
        <v>50</v>
      </c>
      <c r="D35" s="18">
        <f>'Rekap 1'!AX35+'Rekap 2'!AX35+'Rekap 3'!AX35</f>
        <v>0</v>
      </c>
      <c r="E35" s="21">
        <f t="shared" si="0"/>
        <v>0</v>
      </c>
    </row>
    <row r="36" spans="1:5" ht="14.5" customHeight="1" x14ac:dyDescent="0.2">
      <c r="A36" s="54">
        <v>5</v>
      </c>
      <c r="B36" s="53" t="s">
        <v>88</v>
      </c>
      <c r="C36" s="57">
        <f>'Data '!D33</f>
        <v>50</v>
      </c>
      <c r="D36" s="18">
        <f>'Rekap 1'!AX36+'Rekap 2'!AX36+'Rekap 3'!AX36</f>
        <v>0</v>
      </c>
      <c r="E36" s="21">
        <f t="shared" si="0"/>
        <v>0</v>
      </c>
    </row>
    <row r="37" spans="1:5" ht="14.5" customHeight="1" x14ac:dyDescent="0.2">
      <c r="A37" s="64">
        <v>6</v>
      </c>
      <c r="B37" s="65" t="s">
        <v>89</v>
      </c>
      <c r="C37" s="57">
        <f>'Data '!D34</f>
        <v>300</v>
      </c>
      <c r="D37" s="18">
        <f>'Rekap 1'!AX37+'Rekap 2'!AX37+'Rekap 3'!AX37</f>
        <v>2.35</v>
      </c>
      <c r="E37" s="21">
        <f t="shared" ref="E37" si="2">C37*D37</f>
        <v>705</v>
      </c>
    </row>
    <row r="38" spans="1:5" ht="14.5" customHeight="1" x14ac:dyDescent="0.2">
      <c r="A38" s="78" t="e">
        <f>'Data '!#REF!</f>
        <v>#REF!</v>
      </c>
      <c r="B38" s="78"/>
      <c r="C38" s="78"/>
      <c r="D38" s="18"/>
      <c r="E38" s="21"/>
    </row>
    <row r="39" spans="1:5" ht="14.5" customHeight="1" x14ac:dyDescent="0.2">
      <c r="A39" s="26">
        <v>1</v>
      </c>
      <c r="B39" s="24" t="str">
        <f>'Data '!B35</f>
        <v>Kerasan/PS/ABS</v>
      </c>
      <c r="C39" s="57">
        <f>'Data '!D35</f>
        <v>100</v>
      </c>
      <c r="D39" s="18">
        <f>'Rekap 1'!AX39+'Rekap 2'!AX39+'Rekap 3'!AX39</f>
        <v>14.610000000000001</v>
      </c>
      <c r="E39" s="21">
        <f t="shared" si="0"/>
        <v>1461.0000000000002</v>
      </c>
    </row>
    <row r="40" spans="1:5" ht="14.5" customHeight="1" x14ac:dyDescent="0.2">
      <c r="A40" s="26">
        <v>2</v>
      </c>
      <c r="B40" s="24" t="str">
        <f>'Data '!B36</f>
        <v>PVC</v>
      </c>
      <c r="C40" s="57">
        <f>'Data '!D36</f>
        <v>100</v>
      </c>
      <c r="D40" s="18">
        <f>'Rekap 1'!AX40+'Rekap 2'!AX40+'Rekap 3'!AX40</f>
        <v>0</v>
      </c>
      <c r="E40" s="21">
        <f t="shared" si="0"/>
        <v>0</v>
      </c>
    </row>
    <row r="41" spans="1:5" ht="14.5" customHeight="1" x14ac:dyDescent="0.2">
      <c r="A41" s="78" t="str">
        <f>'Data '!A37</f>
        <v>KERTAS</v>
      </c>
      <c r="B41" s="78"/>
      <c r="C41" s="78"/>
      <c r="D41" s="18"/>
      <c r="E41" s="21"/>
    </row>
    <row r="42" spans="1:5" ht="14.5" customHeight="1" x14ac:dyDescent="0.2">
      <c r="A42" s="26">
        <v>1</v>
      </c>
      <c r="B42" s="53" t="s">
        <v>28</v>
      </c>
      <c r="C42" s="57">
        <f>'Data '!D38</f>
        <v>1200</v>
      </c>
      <c r="D42" s="18">
        <f>'Rekap 1'!AX42+'Rekap 2'!AX42+'Rekap 3'!AX42</f>
        <v>54.5</v>
      </c>
      <c r="E42" s="21">
        <f t="shared" si="0"/>
        <v>65400</v>
      </c>
    </row>
    <row r="43" spans="1:5" ht="14.5" customHeight="1" x14ac:dyDescent="0.2">
      <c r="A43" s="23">
        <v>2</v>
      </c>
      <c r="B43" s="53" t="s">
        <v>29</v>
      </c>
      <c r="C43" s="57">
        <f>'Data '!D39</f>
        <v>1200</v>
      </c>
      <c r="D43" s="18">
        <f>'Rekap 1'!AX43+'Rekap 2'!AX43+'Rekap 3'!AX43</f>
        <v>0</v>
      </c>
      <c r="E43" s="21">
        <f t="shared" si="0"/>
        <v>0</v>
      </c>
    </row>
    <row r="44" spans="1:5" ht="14.5" customHeight="1" x14ac:dyDescent="0.2">
      <c r="A44" s="23">
        <v>3</v>
      </c>
      <c r="B44" s="53" t="s">
        <v>94</v>
      </c>
      <c r="C44" s="57">
        <f>'Data '!D40</f>
        <v>500</v>
      </c>
      <c r="D44" s="18">
        <f>'Rekap 1'!AX44+'Rekap 2'!AX44+'Rekap 3'!AX44</f>
        <v>0</v>
      </c>
      <c r="E44" s="21">
        <f t="shared" si="0"/>
        <v>0</v>
      </c>
    </row>
    <row r="45" spans="1:5" ht="14.5" customHeight="1" x14ac:dyDescent="0.2">
      <c r="A45" s="23">
        <v>4</v>
      </c>
      <c r="B45" s="53" t="s">
        <v>30</v>
      </c>
      <c r="C45" s="57">
        <f>'Data '!D41</f>
        <v>500</v>
      </c>
      <c r="D45" s="18">
        <f>'Rekap 1'!AX45+'Rekap 2'!AX45+'Rekap 3'!AX45</f>
        <v>0</v>
      </c>
      <c r="E45" s="21">
        <f t="shared" si="0"/>
        <v>0</v>
      </c>
    </row>
    <row r="46" spans="1:5" ht="14.5" customHeight="1" x14ac:dyDescent="0.2">
      <c r="A46" s="23">
        <v>5</v>
      </c>
      <c r="B46" s="53" t="s">
        <v>31</v>
      </c>
      <c r="C46" s="57">
        <f>'Data '!D42</f>
        <v>2000</v>
      </c>
      <c r="D46" s="18">
        <f>'Rekap 1'!AX46+'Rekap 2'!AX46+'Rekap 3'!AX46</f>
        <v>0</v>
      </c>
      <c r="E46" s="21">
        <f t="shared" si="0"/>
        <v>0</v>
      </c>
    </row>
    <row r="47" spans="1:5" ht="14.5" customHeight="1" x14ac:dyDescent="0.2">
      <c r="A47" s="23">
        <v>6</v>
      </c>
      <c r="B47" s="53" t="s">
        <v>32</v>
      </c>
      <c r="C47" s="57">
        <f>'Data '!D43</f>
        <v>100</v>
      </c>
      <c r="D47" s="18">
        <f>'Rekap 1'!AX47+'Rekap 2'!AX47+'Rekap 3'!AX47</f>
        <v>19.12</v>
      </c>
      <c r="E47" s="21">
        <f t="shared" si="0"/>
        <v>1912</v>
      </c>
    </row>
    <row r="48" spans="1:5" ht="14.5" customHeight="1" x14ac:dyDescent="0.2">
      <c r="A48" s="23">
        <v>7</v>
      </c>
      <c r="B48" s="53" t="s">
        <v>33</v>
      </c>
      <c r="C48" s="57">
        <f>'Data '!D44</f>
        <v>800</v>
      </c>
      <c r="D48" s="18">
        <f>'Rekap 1'!AX48+'Rekap 2'!AX48+'Rekap 3'!AX48</f>
        <v>43.34</v>
      </c>
      <c r="E48" s="21">
        <f t="shared" si="0"/>
        <v>34672</v>
      </c>
    </row>
    <row r="49" spans="1:5" ht="14.5" customHeight="1" x14ac:dyDescent="0.2">
      <c r="A49" s="23">
        <v>8</v>
      </c>
      <c r="B49" s="53" t="s">
        <v>34</v>
      </c>
      <c r="C49" s="57">
        <f>'Data '!D45</f>
        <v>100</v>
      </c>
      <c r="D49" s="18">
        <f>'Rekap 1'!AX49+'Rekap 2'!AX49+'Rekap 3'!AX49</f>
        <v>10.68</v>
      </c>
      <c r="E49" s="21">
        <f t="shared" si="0"/>
        <v>1068</v>
      </c>
    </row>
    <row r="50" spans="1:5" ht="14.5" customHeight="1" x14ac:dyDescent="0.2">
      <c r="A50" s="78" t="str">
        <f>'Data '!A46</f>
        <v>LOGAM</v>
      </c>
      <c r="B50" s="78"/>
      <c r="C50" s="78"/>
      <c r="D50" s="18"/>
      <c r="E50" s="21"/>
    </row>
    <row r="51" spans="1:5" ht="14.5" customHeight="1" x14ac:dyDescent="0.2">
      <c r="A51" s="71">
        <v>1</v>
      </c>
      <c r="B51" s="53" t="s">
        <v>36</v>
      </c>
      <c r="C51" s="57">
        <f>'Data '!D47</f>
        <v>1500</v>
      </c>
      <c r="D51" s="18">
        <f>'Rekap 1'!AX51+'Rekap 2'!AX51+'Rekap 3'!AX51</f>
        <v>5.1100000000000003</v>
      </c>
      <c r="E51" s="21">
        <f t="shared" si="0"/>
        <v>7665.0000000000009</v>
      </c>
    </row>
    <row r="52" spans="1:5" ht="14.5" customHeight="1" x14ac:dyDescent="0.2">
      <c r="A52" s="71">
        <v>2</v>
      </c>
      <c r="B52" s="53" t="s">
        <v>37</v>
      </c>
      <c r="C52" s="57">
        <f>'Data '!D48</f>
        <v>1200</v>
      </c>
      <c r="D52" s="18">
        <f>'Rekap 1'!AX52+'Rekap 2'!AX52+'Rekap 3'!AX52</f>
        <v>4.8900000000000006</v>
      </c>
      <c r="E52" s="21">
        <f t="shared" si="0"/>
        <v>5868.0000000000009</v>
      </c>
    </row>
    <row r="53" spans="1:5" ht="14.5" customHeight="1" x14ac:dyDescent="0.2">
      <c r="A53" s="71">
        <v>3</v>
      </c>
      <c r="B53" s="53" t="s">
        <v>38</v>
      </c>
      <c r="C53" s="57">
        <f>'Data '!D49</f>
        <v>2500</v>
      </c>
      <c r="D53" s="18">
        <f>'Rekap 1'!AX53+'Rekap 2'!AX53+'Rekap 3'!AX53</f>
        <v>7.1199999999999992</v>
      </c>
      <c r="E53" s="21">
        <f t="shared" si="0"/>
        <v>17799.999999999996</v>
      </c>
    </row>
    <row r="54" spans="1:5" ht="14.5" customHeight="1" x14ac:dyDescent="0.2">
      <c r="A54" s="71">
        <v>4</v>
      </c>
      <c r="B54" s="53" t="s">
        <v>96</v>
      </c>
      <c r="C54" s="57">
        <f>'Data '!D50</f>
        <v>300</v>
      </c>
      <c r="D54" s="18">
        <f>'Rekap 1'!AX54+'Rekap 2'!AX54+'Rekap 3'!AX54</f>
        <v>0</v>
      </c>
      <c r="E54" s="21">
        <f t="shared" si="0"/>
        <v>0</v>
      </c>
    </row>
    <row r="55" spans="1:5" ht="14.5" customHeight="1" x14ac:dyDescent="0.2">
      <c r="A55" s="71">
        <v>5</v>
      </c>
      <c r="B55" s="53" t="s">
        <v>97</v>
      </c>
      <c r="C55" s="57">
        <f>'Data '!D51</f>
        <v>5000</v>
      </c>
      <c r="D55" s="18">
        <f>'Rekap 1'!AX55+'Rekap 2'!AX55+'Rekap 3'!AX55</f>
        <v>3.3899999999999997</v>
      </c>
      <c r="E55" s="21">
        <f t="shared" si="0"/>
        <v>16950</v>
      </c>
    </row>
    <row r="56" spans="1:5" ht="14.5" customHeight="1" x14ac:dyDescent="0.2">
      <c r="A56" s="71">
        <v>6</v>
      </c>
      <c r="B56" s="53" t="s">
        <v>39</v>
      </c>
      <c r="C56" s="57">
        <f>'Data '!D52</f>
        <v>7000</v>
      </c>
      <c r="D56" s="18">
        <f>'Rekap 1'!AX56+'Rekap 2'!AX56+'Rekap 3'!AX56</f>
        <v>0</v>
      </c>
      <c r="E56" s="21">
        <f t="shared" si="0"/>
        <v>0</v>
      </c>
    </row>
    <row r="57" spans="1:5" ht="14.5" customHeight="1" x14ac:dyDescent="0.2">
      <c r="A57" s="71">
        <v>7</v>
      </c>
      <c r="B57" s="53" t="s">
        <v>40</v>
      </c>
      <c r="C57" s="57">
        <f>'Data '!D53</f>
        <v>30000</v>
      </c>
      <c r="D57" s="18">
        <f>'Rekap 1'!AX57+'Rekap 2'!AX57+'Rekap 3'!AX57</f>
        <v>0</v>
      </c>
      <c r="E57" s="21">
        <f t="shared" si="0"/>
        <v>0</v>
      </c>
    </row>
    <row r="58" spans="1:5" ht="14.5" customHeight="1" x14ac:dyDescent="0.2">
      <c r="A58" s="71">
        <v>8</v>
      </c>
      <c r="B58" s="53" t="s">
        <v>41</v>
      </c>
      <c r="C58" s="57">
        <f>'Data '!D54</f>
        <v>0</v>
      </c>
      <c r="D58" s="18">
        <f>'Rekap 1'!AX58+'Rekap 2'!AX58+'Rekap 3'!AX58</f>
        <v>0</v>
      </c>
      <c r="E58" s="21">
        <f t="shared" si="0"/>
        <v>0</v>
      </c>
    </row>
    <row r="59" spans="1:5" ht="14.5" customHeight="1" x14ac:dyDescent="0.2">
      <c r="A59" s="78" t="str">
        <f>'Data '!A55</f>
        <v>KACA</v>
      </c>
      <c r="B59" s="78"/>
      <c r="C59" s="78"/>
      <c r="D59" s="18"/>
      <c r="E59" s="21"/>
    </row>
    <row r="60" spans="1:5" ht="14.5" customHeight="1" x14ac:dyDescent="0.2">
      <c r="A60" s="23">
        <v>1</v>
      </c>
      <c r="B60" s="25" t="s">
        <v>43</v>
      </c>
      <c r="C60" s="57">
        <f>'Data '!D56</f>
        <v>800</v>
      </c>
      <c r="D60" s="18">
        <f>'Rekap 1'!AX60+'Rekap 2'!AX60+'Rekap 3'!AX60</f>
        <v>1</v>
      </c>
      <c r="E60" s="21">
        <f t="shared" si="0"/>
        <v>800</v>
      </c>
    </row>
    <row r="61" spans="1:5" ht="14.5" customHeight="1" x14ac:dyDescent="0.2">
      <c r="A61" s="23">
        <v>2</v>
      </c>
      <c r="B61" s="25" t="s">
        <v>44</v>
      </c>
      <c r="C61" s="57">
        <f>'Data '!D57</f>
        <v>200</v>
      </c>
      <c r="D61" s="18">
        <f>'Rekap 1'!AX61+'Rekap 2'!AX61+'Rekap 3'!AX61</f>
        <v>11</v>
      </c>
      <c r="E61" s="21">
        <f t="shared" si="0"/>
        <v>2200</v>
      </c>
    </row>
    <row r="62" spans="1:5" ht="14.5" customHeight="1" x14ac:dyDescent="0.2">
      <c r="A62" s="23">
        <v>3</v>
      </c>
      <c r="B62" s="25" t="s">
        <v>45</v>
      </c>
      <c r="C62" s="57">
        <f>'Data '!D58</f>
        <v>100</v>
      </c>
      <c r="D62" s="18">
        <f>'Rekap 1'!AX62+'Rekap 2'!AX62+'Rekap 3'!AX62</f>
        <v>17.7</v>
      </c>
      <c r="E62" s="21">
        <f t="shared" si="0"/>
        <v>1770</v>
      </c>
    </row>
    <row r="63" spans="1:5" ht="14.5" customHeight="1" x14ac:dyDescent="0.2">
      <c r="A63" s="78" t="str">
        <f>'Data '!A59</f>
        <v>OTHER</v>
      </c>
      <c r="B63" s="78"/>
      <c r="C63" s="78"/>
      <c r="D63" s="18"/>
      <c r="E63" s="21"/>
    </row>
    <row r="64" spans="1:5" ht="14.5" customHeight="1" x14ac:dyDescent="0.2">
      <c r="A64" s="71">
        <v>1</v>
      </c>
      <c r="B64" s="53" t="s">
        <v>100</v>
      </c>
      <c r="C64" s="57">
        <f>'Data '!D60</f>
        <v>200</v>
      </c>
      <c r="D64" s="18">
        <f>'Rekap 1'!AX64+'Rekap 2'!AX64+'Rekap 3'!AX64</f>
        <v>0.34</v>
      </c>
      <c r="E64" s="21">
        <f t="shared" si="0"/>
        <v>68</v>
      </c>
    </row>
    <row r="65" spans="1:5" ht="14.5" customHeight="1" x14ac:dyDescent="0.2">
      <c r="A65" s="71">
        <v>2</v>
      </c>
      <c r="B65" s="53" t="s">
        <v>101</v>
      </c>
      <c r="C65" s="57">
        <f>'Data '!D61</f>
        <v>0</v>
      </c>
      <c r="D65" s="18">
        <f>'Rekap 1'!AX65+'Rekap 2'!AX65+'Rekap 3'!AX65</f>
        <v>0</v>
      </c>
      <c r="E65" s="21">
        <f t="shared" si="0"/>
        <v>0</v>
      </c>
    </row>
    <row r="66" spans="1:5" ht="14.5" customHeight="1" x14ac:dyDescent="0.2">
      <c r="A66" s="71">
        <v>3</v>
      </c>
      <c r="B66" s="53" t="s">
        <v>47</v>
      </c>
      <c r="C66" s="57">
        <f>'Data '!D62</f>
        <v>200</v>
      </c>
      <c r="D66" s="18">
        <f>'Rekap 1'!AX66+'Rekap 2'!AX66+'Rekap 3'!AX66</f>
        <v>4.6100000000000003</v>
      </c>
      <c r="E66" s="21">
        <f t="shared" si="0"/>
        <v>922.00000000000011</v>
      </c>
    </row>
    <row r="67" spans="1:5" ht="14.5" customHeight="1" x14ac:dyDescent="0.2">
      <c r="A67" s="71">
        <v>4</v>
      </c>
      <c r="B67" s="53" t="s">
        <v>102</v>
      </c>
      <c r="C67" s="57">
        <f>'Data '!D63</f>
        <v>0</v>
      </c>
      <c r="D67" s="18">
        <f>'Rekap 1'!AX67+'Rekap 2'!AX67+'Rekap 3'!AX67</f>
        <v>0</v>
      </c>
      <c r="E67" s="21">
        <f t="shared" si="0"/>
        <v>0</v>
      </c>
    </row>
    <row r="68" spans="1:5" ht="14.5" customHeight="1" x14ac:dyDescent="0.2">
      <c r="A68" s="71">
        <v>5</v>
      </c>
      <c r="B68" s="53" t="s">
        <v>48</v>
      </c>
      <c r="C68" s="57">
        <f>'Data '!D64</f>
        <v>0</v>
      </c>
      <c r="D68" s="18">
        <f>'Rekap 1'!AX68+'Rekap 2'!AX68+'Rekap 3'!AX68</f>
        <v>0</v>
      </c>
      <c r="E68" s="21">
        <f t="shared" si="0"/>
        <v>0</v>
      </c>
    </row>
    <row r="69" spans="1:5" ht="14.5" customHeight="1" x14ac:dyDescent="0.2">
      <c r="A69" s="71">
        <v>6</v>
      </c>
      <c r="B69" s="53" t="s">
        <v>49</v>
      </c>
      <c r="C69" s="57">
        <f>'Data '!D65</f>
        <v>0</v>
      </c>
      <c r="D69" s="18">
        <f>'Rekap 1'!AX69+'Rekap 2'!AX69+'Rekap 3'!AX69</f>
        <v>0</v>
      </c>
      <c r="E69" s="21">
        <f t="shared" si="0"/>
        <v>0</v>
      </c>
    </row>
    <row r="70" spans="1:5" ht="14.5" customHeight="1" x14ac:dyDescent="0.2">
      <c r="A70" s="71">
        <v>7</v>
      </c>
      <c r="B70" s="53" t="s">
        <v>52</v>
      </c>
      <c r="C70" s="57">
        <f>'Data '!D66</f>
        <v>200</v>
      </c>
      <c r="D70" s="18">
        <f>'Rekap 1'!AX70+'Rekap 2'!AX70+'Rekap 3'!AX70</f>
        <v>0</v>
      </c>
      <c r="E70" s="21">
        <f t="shared" si="0"/>
        <v>0</v>
      </c>
    </row>
    <row r="71" spans="1:5" ht="14.5" customHeight="1" x14ac:dyDescent="0.2">
      <c r="A71" s="71">
        <v>8</v>
      </c>
      <c r="B71" s="53" t="s">
        <v>51</v>
      </c>
      <c r="C71" s="57">
        <f>'Data '!D67</f>
        <v>500</v>
      </c>
      <c r="D71" s="18">
        <f>'Rekap 1'!AX71+'Rekap 2'!AX71+'Rekap 3'!AX71</f>
        <v>0.14000000000000001</v>
      </c>
      <c r="E71" s="21">
        <f t="shared" si="0"/>
        <v>70</v>
      </c>
    </row>
    <row r="72" spans="1:5" ht="14.5" customHeight="1" x14ac:dyDescent="0.2">
      <c r="A72" s="71">
        <v>9</v>
      </c>
      <c r="B72" s="53" t="s">
        <v>104</v>
      </c>
      <c r="C72" s="57">
        <f>'Data '!D68</f>
        <v>0</v>
      </c>
      <c r="D72" s="18">
        <f>'Rekap 1'!AX72+'Rekap 2'!AX72+'Rekap 3'!AX72</f>
        <v>0</v>
      </c>
      <c r="E72" s="21">
        <f t="shared" si="0"/>
        <v>0</v>
      </c>
    </row>
    <row r="73" spans="1:5" ht="14.5" customHeight="1" x14ac:dyDescent="0.2">
      <c r="A73" s="71">
        <v>10</v>
      </c>
      <c r="B73" s="53" t="s">
        <v>50</v>
      </c>
      <c r="C73" s="57">
        <f>'Data '!D69</f>
        <v>300</v>
      </c>
      <c r="D73" s="18">
        <f>'Rekap 1'!AX73+'Rekap 2'!AX73+'Rekap 3'!AX73</f>
        <v>3.91</v>
      </c>
      <c r="E73" s="21">
        <f t="shared" ref="E73:E75" si="3">C73*D73</f>
        <v>1173</v>
      </c>
    </row>
    <row r="74" spans="1:5" ht="14.5" customHeight="1" x14ac:dyDescent="0.2">
      <c r="A74" s="71">
        <v>11</v>
      </c>
      <c r="B74" s="53" t="s">
        <v>106</v>
      </c>
      <c r="C74" s="57">
        <f>'Data '!D70</f>
        <v>500</v>
      </c>
      <c r="D74" s="18">
        <f>'Rekap 1'!AX74+'Rekap 2'!AX74+'Rekap 3'!AX74</f>
        <v>0</v>
      </c>
      <c r="E74" s="21">
        <f t="shared" si="3"/>
        <v>0</v>
      </c>
    </row>
    <row r="75" spans="1:5" ht="14.5" customHeight="1" x14ac:dyDescent="0.2">
      <c r="A75" s="71">
        <v>12</v>
      </c>
      <c r="B75" s="53" t="s">
        <v>108</v>
      </c>
      <c r="C75" s="57">
        <f>'Data '!D71</f>
        <v>0</v>
      </c>
      <c r="D75" s="18">
        <f>'Rekap 1'!AX75+'Rekap 2'!AX75+'Rekap 3'!AX75</f>
        <v>0</v>
      </c>
      <c r="E75" s="21">
        <f t="shared" si="3"/>
        <v>0</v>
      </c>
    </row>
    <row r="76" spans="1:5" ht="14.5" customHeight="1" x14ac:dyDescent="0.2">
      <c r="A76" s="23"/>
      <c r="B76" s="25"/>
      <c r="C76" s="45"/>
      <c r="D76" s="18"/>
      <c r="E76" s="21"/>
    </row>
    <row r="77" spans="1:5" s="36" customFormat="1" ht="14.5" customHeight="1" x14ac:dyDescent="0.2">
      <c r="A77" s="79" t="str">
        <f>'Data '!A74</f>
        <v>TOTAL</v>
      </c>
      <c r="B77" s="79"/>
      <c r="C77" s="79"/>
      <c r="D77" s="76">
        <f>SUM(D8:D76)</f>
        <v>271.95</v>
      </c>
      <c r="E77" s="77">
        <f>SUM(E8:E76)</f>
        <v>240739</v>
      </c>
    </row>
    <row r="78" spans="1:5" ht="14.5" customHeight="1" x14ac:dyDescent="0.2">
      <c r="A78" s="5" t="s">
        <v>54</v>
      </c>
      <c r="B78" s="5"/>
      <c r="C78" s="44"/>
      <c r="D78" s="27"/>
      <c r="E78" s="21"/>
    </row>
    <row r="79" spans="1:5" ht="14.5" customHeight="1" x14ac:dyDescent="0.2">
      <c r="A79" s="27"/>
      <c r="B79" s="28"/>
      <c r="C79" s="46"/>
      <c r="D79" s="27"/>
      <c r="E79" s="21"/>
    </row>
    <row r="80" spans="1:5" ht="14.5" customHeight="1" x14ac:dyDescent="0.2">
      <c r="A80" s="27"/>
      <c r="B80" s="28"/>
      <c r="C80" s="46"/>
      <c r="D80" s="27"/>
      <c r="E80" s="21"/>
    </row>
  </sheetData>
  <mergeCells count="17">
    <mergeCell ref="A1:E1"/>
    <mergeCell ref="A2:E2"/>
    <mergeCell ref="A38:C38"/>
    <mergeCell ref="A41:C41"/>
    <mergeCell ref="A50:C50"/>
    <mergeCell ref="A7:C7"/>
    <mergeCell ref="D4:D6"/>
    <mergeCell ref="E4:E6"/>
    <mergeCell ref="A4:A6"/>
    <mergeCell ref="B4:B6"/>
    <mergeCell ref="C4:C6"/>
    <mergeCell ref="A15:B15"/>
    <mergeCell ref="A27:B27"/>
    <mergeCell ref="A31:B31"/>
    <mergeCell ref="A63:C63"/>
    <mergeCell ref="A77:C77"/>
    <mergeCell ref="A59:C5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</vt:lpstr>
      <vt:lpstr>Setoran 1</vt:lpstr>
      <vt:lpstr>Setoran 2</vt:lpstr>
      <vt:lpstr>Setoran 3</vt:lpstr>
      <vt:lpstr>Rekap 1</vt:lpstr>
      <vt:lpstr>Rekap 2</vt:lpstr>
      <vt:lpstr>Rekap 3</vt:lpstr>
      <vt:lpstr>Jual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didit</dc:creator>
  <cp:lastModifiedBy>DARIEN ADIKA RAMA PRODJOWIJONO</cp:lastModifiedBy>
  <cp:lastPrinted>2023-02-04T05:08:00Z</cp:lastPrinted>
  <dcterms:created xsi:type="dcterms:W3CDTF">2022-07-13T07:12:03Z</dcterms:created>
  <dcterms:modified xsi:type="dcterms:W3CDTF">2026-08-17T06:31:30Z</dcterms:modified>
</cp:coreProperties>
</file>